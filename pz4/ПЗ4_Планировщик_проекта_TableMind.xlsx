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filterPrivacy="1" autoCompressPictures="0"/>
  <xr:revisionPtr revIDLastSave="0" documentId="8_{59440426-142A-4F00-A98E-626599E1C72E}" xr6:coauthVersionLast="37" xr6:coauthVersionMax="37" xr10:uidLastSave="{00000000-0000-0000-0000-000000000000}"/>
  <bookViews>
    <workbookView xWindow="0" yWindow="0" windowWidth="14370" windowHeight="5685" activeTab="3" xr2:uid="{00000000-000D-0000-FFFF-FFFF00000000}"/>
  </bookViews>
  <sheets>
    <sheet name="Пример 1" sheetId="7" r:id="rId1"/>
    <sheet name="Пример 2" sheetId="9" r:id="rId2"/>
    <sheet name="ТАБЛИЦА ДАННЫХ" sheetId="2" r:id="rId3"/>
    <sheet name="Планировщик проекта" sheetId="1" r:id="rId4"/>
  </sheets>
  <definedNames>
    <definedName name="выбранный_период">'Планировщик проекта'!$J$2</definedName>
    <definedName name="_xlnm.Print_Titles" localSheetId="3">'Планировщик проекта'!$3:$4</definedName>
    <definedName name="ОбластьЗаголовка..BO60">'Планировщик проекта'!$C$3:$C$4</definedName>
    <definedName name="ПериодПлан">'Планировщик проекта'!A$4=MEDIAN('Планировщик проекта'!A$4,'Планировщик проекта'!#REF!,'Планировщик проекта'!#REF!+'Планировщик проекта'!#REF!-1)</definedName>
    <definedName name="ПериодФакт">'Планировщик проекта'!A$4=MEDIAN('Планировщик проекта'!A$4,'Планировщик проекта'!$G1,'Планировщик проекта'!$G1+'Планировщик проекта'!$H1-1)</definedName>
    <definedName name="План">ПериодПлан*('Планировщик проекта'!#REF!&gt;0)</definedName>
    <definedName name="ПроцентВыполнения">ПроцентВыполненияВнеплан*ПериодПлан</definedName>
    <definedName name="ПроцентВыполненияВнеплан">('Планировщик проекта'!A$4=MEDIAN('Планировщик проекта'!A$4,'Планировщик проекта'!$G1,'Планировщик проекта'!$G1+'Планировщик проекта'!$H1)*('Планировщик проекта'!$G1&gt;0))*(('Планировщик проекта'!A$4&lt;(INT('Планировщик проекта'!$G1+'Планировщик проекта'!$H1*'Планировщик проекта'!$I1)))+('Планировщик проекта'!A$4='Планировщик проекта'!$G1))*('Планировщик проекта'!$I1&gt;0)</definedName>
    <definedName name="ФактВнеплан">ПериодФакт*('Планировщик проекта'!$G1&gt;0)</definedName>
    <definedName name="ФактическиеЗначения">(ПериодФакт*('Планировщик проекта'!$G1&gt;0))*ПериодПлан</definedName>
  </definedNames>
  <calcPr calcId="179021" fullCalcOnLoad="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<sst xmlns="http://schemas.openxmlformats.org/spreadsheetml/2006/main" count="218" uniqueCount="201">
  <si>
    <t>Планировщик проекта</t>
  </si>
  <si>
    <t>Выберите период для выделения справа. Условные обозначения, описывающие диаграммы.</t>
  </si>
  <si>
    <t>ДЕЙСТВИЕ</t>
  </si>
  <si>
    <t xml:space="preserve"> Рассматриваемый период:</t>
  </si>
  <si>
    <t>ПЕРИОДЫ</t>
  </si>
  <si>
    <t>Длительность (план.)</t>
  </si>
  <si>
    <t>Начало (факт.)</t>
  </si>
  <si>
    <t>% выполнения</t>
  </si>
  <si>
    <t>Фактически (внепланово)</t>
  </si>
  <si>
    <t>% выполнения (внепланово)</t>
  </si>
  <si>
    <t>КРИТИЧЕСКИЙ ПУТЬ</t>
  </si>
  <si>
    <t>РАННЕЕ НАЧАЛО</t>
  </si>
  <si>
    <t>ДЛИТЕЛЬНОСТЬ</t>
  </si>
  <si>
    <t>Столбец1</t>
  </si>
  <si>
    <t>Столбец2</t>
  </si>
  <si>
    <t>Столбец3</t>
  </si>
  <si>
    <t>Столбец32</t>
  </si>
  <si>
    <t>Столбец4</t>
  </si>
  <si>
    <t>Столбец5</t>
  </si>
  <si>
    <t>Столбец6</t>
  </si>
  <si>
    <t>Столбец7</t>
  </si>
  <si>
    <t>Столбец8</t>
  </si>
  <si>
    <t>Столбец9</t>
  </si>
  <si>
    <t>Столбец10</t>
  </si>
  <si>
    <t>ЗАДАЧА</t>
  </si>
  <si>
    <t>ПРЕДШЕСТВУЮЩИЕ РАБОТЫ</t>
  </si>
  <si>
    <t>ПОСЛЕДУЮЩИЕ РАБОТЫ</t>
  </si>
  <si>
    <t>РАННИЙ СТАРТ</t>
  </si>
  <si>
    <t xml:space="preserve">ДЛИТЕЛЬНОСТЬ </t>
  </si>
  <si>
    <t>РАННИЙ ФИНИШ</t>
  </si>
  <si>
    <t xml:space="preserve">РЕЗЕРВ </t>
  </si>
  <si>
    <t>Ранний старт (ES) — самый ранний возможный день начала. ES = МАКС(EF всех предшественников)</t>
  </si>
  <si>
    <t>Длительность (D) — сколько времени занимает задача.</t>
  </si>
  <si>
    <t>Ранний финиш (EF) = ES + D — самый ранний возможный день окончания.</t>
  </si>
  <si>
    <t>LS = Позднее начало (Late Start) LS = LF - D</t>
  </si>
  <si>
    <t>(Late Finish) LF = МИН(LS всех последователей)</t>
  </si>
  <si>
    <t>Полный резерв (TF) =LS-ES, Насколько МОЖНО задержать ВСЮ задачу</t>
  </si>
  <si>
    <t>№</t>
  </si>
  <si>
    <t>ПОЗДНИЙ СТАРТ</t>
  </si>
  <si>
    <t>ПОЗДНИЙ ФИНИШ</t>
  </si>
  <si>
    <t>РЕЗЕРВ</t>
  </si>
  <si>
    <t>раб1</t>
  </si>
  <si>
    <t>раб2</t>
  </si>
  <si>
    <t>раб3</t>
  </si>
  <si>
    <t>раб4</t>
  </si>
  <si>
    <t>раб5</t>
  </si>
  <si>
    <t>раб6</t>
  </si>
  <si>
    <t>раб7</t>
  </si>
  <si>
    <t>Содержание работы</t>
  </si>
  <si>
    <t>Предшествен- ники</t>
  </si>
  <si>
    <t>Длитель- ность (дни)</t>
  </si>
  <si>
    <t>Пояснение по длительности</t>
  </si>
  <si>
    <t>Устав и стартовое совещание</t>
  </si>
  <si>
    <t>—</t>
  </si>
  <si>
    <t>Утверждение устава + совещание с руководителями</t>
  </si>
  <si>
    <t>Анализ регламентов ИБ</t>
  </si>
  <si>
    <t>Изучение внутренних документов по защите ПДн</t>
  </si>
  <si>
    <t>Фишинг-замер + отчет</t>
  </si>
  <si>
    <t>Скрытая рассылка + обработка результатов</t>
  </si>
  <si>
    <t>Выбор вендора + договор</t>
  </si>
  <si>
    <t>Анализ рынка, переговоры, подписание</t>
  </si>
  <si>
    <t>Учетные записи (200 чел.)</t>
  </si>
  <si>
    <t>Импорт сотрудников в платформу</t>
  </si>
  <si>
    <t>Настройка white-list</t>
  </si>
  <si>
    <t>3, 4</t>
  </si>
  <si>
    <t>Внесение IP-адресов в безопасный список почты</t>
  </si>
  <si>
    <t>Курс по ПДн (№ 99-З)</t>
  </si>
  <si>
    <t>Разработка юридического модуля обучения</t>
  </si>
  <si>
    <t>Модули, видео, тесты</t>
  </si>
  <si>
    <t>Создание интерактивного контента по фишингу</t>
  </si>
  <si>
    <t>Информирование сотрудников</t>
  </si>
  <si>
    <t>7, 8</t>
  </si>
  <si>
    <t>Письмо от директора + инструкции</t>
  </si>
  <si>
    <t>Микрообучение (4 недели)</t>
  </si>
  <si>
    <t>Основная фаза обучения (4 недели × 5 дней)</t>
  </si>
  <si>
    <t>Итоговый фишинг + тест</t>
  </si>
  <si>
    <t>Контрольный замер + проверка знаний</t>
  </si>
  <si>
    <t>Анализ KPI + отчет + регламент</t>
  </si>
  <si>
    <t>Подготовка дашборда и утверждение регламента</t>
  </si>
  <si>
    <t>ИИ</t>
  </si>
  <si>
    <t>ЭТАП 1. ПОДГОТОВКА (3 работы)</t>
  </si>
  <si>
    <t>1. Разработка и утверждение устава проекта, проведение стартового совещания.</t>
  </si>
  <si>
    <t>2. Анализ существующих регламентов информационной безопасности.</t>
  </si>
  <si>
    <t>3. Проведение скрытой фишинг-атаки (замер «нулевого» уровня) и формирование отчета об уязвимостях.</t>
  </si>
  <si>
    <t>ЭТАП 2. НАСТРОЙКА ПЛАТФОРМЫ (3 работы)</t>
  </si>
  <si>
    <t>4. Анализ рынка, выбор вендора и заключение договора с оплатой лицензии.</t>
  </si>
  <si>
    <t>5. Создание учетных записей для 200 сотрудников.</t>
  </si>
  <si>
    <t>6. Настройка интеграции с почтовым сервером (white-list IP-адресов).</t>
  </si>
  <si>
    <t>ЭТАП 3. РАЗРАБОТКА КОНТЕНТА И ОБУЧЕНИЕ (4 работы)</t>
  </si>
  <si>
    <t>7. Подготовка курса по Закону РБ № 99-З «О персональных данных».</t>
  </si>
  <si>
    <t>8. Разработка интерактивных модулей по фишингу, социальной инженерии, создание видеолекций и базы тестов.</t>
  </si>
  <si>
    <t>9. Информирование сотрудников о старте программы.</t>
  </si>
  <si>
    <t>10. Проведение активной фазы микрообучения (4 недели) и семинаров для отстающих.</t>
  </si>
  <si>
    <t>ЭТАП 4. КОНТРОЛЬ И ВНЕДРЕНИЕ (2 работы)</t>
  </si>
  <si>
    <t>11. Проведение итоговой контрольной фишинг-атаки и финального тестирования.</t>
  </si>
  <si>
    <t>12. Анализ достижения KPI, подготовка отчета для директора и утверждение регламента регулярного обучения.</t>
  </si>
  <si>
    <t xml:space="preserve"> Проект «Обучение сотрудников кибербезопасности»</t>
  </si>
  <si>
    <t>Код</t>
  </si>
  <si>
    <t>Название работы</t>
  </si>
  <si>
    <t>Длительность (мес.)</t>
  </si>
  <si>
    <t>1.0</t>
  </si>
  <si>
    <t>Анализ рынка, аудитории и утверждение ТЗ</t>
  </si>
  <si>
    <t>2.0</t>
  </si>
  <si>
    <t>Разработка финансовой модели и бюджета</t>
  </si>
  <si>
    <t>3.0</t>
  </si>
  <si>
    <t>Проектирование дизайна и пользовательского интерфейса</t>
  </si>
  <si>
    <t>4.0</t>
  </si>
  <si>
    <t>Проектирование архитектуры БД и структуры каталога</t>
  </si>
  <si>
    <t>5.0</t>
  </si>
  <si>
    <t>Разработка бэкенда (API, логика, админ-панель)</t>
  </si>
  <si>
    <t>3.0, 4.0</t>
  </si>
  <si>
    <t>6.0</t>
  </si>
  <si>
    <t>Разработка фронтенда (каталог, корзина, ЛК)</t>
  </si>
  <si>
    <t>3.0, 5.0</t>
  </si>
  <si>
    <t>7.0</t>
  </si>
  <si>
    <t>Интеграция с платёжной системой и уведомлениями</t>
  </si>
  <si>
    <t>8.0</t>
  </si>
  <si>
    <t>SEO-настройка и оптимизация</t>
  </si>
  <si>
    <t>9.0</t>
  </si>
  <si>
    <t>Фотосъёмка и подготовка изображений товаров</t>
  </si>
  <si>
    <t>10.0</t>
  </si>
  <si>
    <t>Наполнение каталога и статических страниц контентом</t>
  </si>
  <si>
    <t>6.0, 9.0</t>
  </si>
  <si>
    <t>11.0</t>
  </si>
  <si>
    <t>Комплексное тестирование (функции, безопасность, скорость)</t>
  </si>
  <si>
    <t>5.0, 6.0, 7.0, 10.0</t>
  </si>
  <si>
    <t>12.0</t>
  </si>
  <si>
    <t>Развёртывание на сервере и запуск для пользователей</t>
  </si>
  <si>
    <t>предшествующие работы</t>
  </si>
  <si>
    <t>Код WBS</t>
  </si>
  <si>
    <t>Анализ и планирование</t>
  </si>
  <si>
    <t>Анализ конкурентов и целевой аудитории</t>
  </si>
  <si>
    <t>Составление и утверждение технического задания</t>
  </si>
  <si>
    <t>Разработка финансовой модели и бюджета проекта</t>
  </si>
  <si>
    <t>Проектирование</t>
  </si>
  <si>
    <t>Проектирование структуры базы данных и каталога товаров</t>
  </si>
  <si>
    <t>Проектирование системы фильтров и поиска</t>
  </si>
  <si>
    <t>Разработка</t>
  </si>
  <si>
    <t>Разработка бэкенда на Python (модели, API, логика заказов)</t>
  </si>
  <si>
    <t>Разработка фронтенда (каталог, корзина, личный кабинет)</t>
  </si>
  <si>
    <t>Разработка админ-панели для управления магазином</t>
  </si>
  <si>
    <t>Интеграция и настройка</t>
  </si>
  <si>
    <t>Интеграция с платёжной системой (настройка, тесты, боевой режим)</t>
  </si>
  <si>
    <t>Настройка уведомлений (email/SMS о статусах заказов)</t>
  </si>
  <si>
    <t>SEO-настройка (метатеги, ЧПУ, sitemap)</t>
  </si>
  <si>
    <t>Наполнение контентом</t>
  </si>
  <si>
    <t>Фотосъёмка, ретушь и подготовка изображений товаров</t>
  </si>
  <si>
    <t>Заполнение каталога (названия, описания, цены, характеристики)</t>
  </si>
  <si>
    <t>Заполнение статических страниц (о нас, доставка, оплата, возврат)</t>
  </si>
  <si>
    <t>Тестирование и запуск</t>
  </si>
  <si>
    <t>Функциональное и интеграционное тестирование</t>
  </si>
  <si>
    <t>Тестирование безопасности и производительности</t>
  </si>
  <si>
    <t>Развёртывание на сервере и открытие доступа пользователям</t>
  </si>
  <si>
    <t>1.</t>
  </si>
  <si>
    <t>1.1.</t>
  </si>
  <si>
    <t>1.2.</t>
  </si>
  <si>
    <t>1.3.</t>
  </si>
  <si>
    <t>2.</t>
  </si>
  <si>
    <t>2.1.</t>
  </si>
  <si>
    <t>2.2.</t>
  </si>
  <si>
    <t>2.3.</t>
  </si>
  <si>
    <t>3.</t>
  </si>
  <si>
    <t>3.1.</t>
  </si>
  <si>
    <t>3.2.</t>
  </si>
  <si>
    <t>3.3.</t>
  </si>
  <si>
    <t>4.</t>
  </si>
  <si>
    <t>4.1.</t>
  </si>
  <si>
    <t>4.2.</t>
  </si>
  <si>
    <t>4.3.</t>
  </si>
  <si>
    <t>5.</t>
  </si>
  <si>
    <t>5.1.</t>
  </si>
  <si>
    <t>5.2.</t>
  </si>
  <si>
    <t>5.3.</t>
  </si>
  <si>
    <t>6.</t>
  </si>
  <si>
    <t>6.1.</t>
  </si>
  <si>
    <t>6.2.</t>
  </si>
  <si>
    <t>6.3.</t>
  </si>
  <si>
    <t xml:space="preserve">Операция </t>
  </si>
  <si>
    <t xml:space="preserve">Описание </t>
  </si>
  <si>
    <t xml:space="preserve">Предшествующая операция </t>
  </si>
  <si>
    <t xml:space="preserve">Время операции </t>
  </si>
  <si>
    <t>А</t>
  </si>
  <si>
    <t>Утверждение приложения</t>
  </si>
  <si>
    <t>нет</t>
  </si>
  <si>
    <t>В</t>
  </si>
  <si>
    <t>Планы конструирования</t>
  </si>
  <si>
    <t>С</t>
  </si>
  <si>
    <t>Изучение трафика</t>
  </si>
  <si>
    <t>D</t>
  </si>
  <si>
    <t>Проверка наличия службы</t>
  </si>
  <si>
    <t>Е</t>
  </si>
  <si>
    <t>Отчет персонала</t>
  </si>
  <si>
    <t>В, С</t>
  </si>
  <si>
    <t>F</t>
  </si>
  <si>
    <t>Одобрение комиссии</t>
  </si>
  <si>
    <t>В, C, D</t>
  </si>
  <si>
    <t>G</t>
  </si>
  <si>
    <t>Ожидание работ</t>
  </si>
  <si>
    <t>Н</t>
  </si>
  <si>
    <t>Включение в работу</t>
  </si>
  <si>
    <t>Е,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</si>
</sst>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* #,##0.00_);_(* \(#,##0.00\);_(* &quot;-&quot;??_);_(@_)"/>
    <numFmt numFmtId="166" formatCode="_-* #,##0.00\ &quot;lei&quot;_-;\-* #,##0.00\ &quot;lei&quot;_-;_-* &quot;-&quot;??\ &quot;lei&quot;_-;_-@_-"/>
    <numFmt numFmtId="167" formatCode="_-* #,##0\ &quot;lei&quot;_-;\-* #,##0\ &quot;lei&quot;_-;_-* &quot;-&quot;\ &quot;lei&quot;_-;_-@_-"/>
  </numFmts>
  <fonts count="36" x14ac:knownFonts="1">
    <font>
      <sz val="11"/>
      <color theme="1" tint="0.24994659260841701"/>
      <name val="Corbel"/>
      <family val="2"/>
      <scheme val="major"/>
    </font>
    <font>
      <sz val="11"/>
      <color theme="1"/>
      <name val="Calibri"/>
      <family val="2"/>
      <scheme val="min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  <family val="2"/>
      <charset val="204"/>
    </font>
    <font>
      <sz val="12"/>
      <color theme="1" tint="0.24994659260841701"/>
      <name val="Calibri"/>
      <family val="2"/>
      <charset val="204"/>
    </font>
    <font>
      <b/>
      <sz val="13"/>
      <color theme="7"/>
      <name val="Calibri"/>
      <family val="2"/>
      <charset val="204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 tint="0.24994659260841701"/>
      <name val="Calibri"/>
      <family val="2"/>
      <charset val="204"/>
    </font>
    <font>
      <sz val="16"/>
      <color theme="1" tint="0.24994659260841701"/>
      <name val="Corbel"/>
      <family val="2"/>
      <scheme val="major"/>
    </font>
    <font>
      <sz val="12"/>
      <color rgb="FFFF0000"/>
      <name val="Calibri"/>
      <family val="2"/>
      <charset val="204"/>
    </font>
    <font>
      <sz val="11"/>
      <color rgb="FF0F1115"/>
      <name val="Segoe UI"/>
      <family val="2"/>
      <charset val="204"/>
    </font>
    <font>
      <sz val="11"/>
      <color rgb="FF0F1115"/>
      <name val="Segoe UI"/>
      <family val="2"/>
      <charset val="204"/>
    </font>
    <font>
      <sz val="12"/>
      <color rgb="FF0F1115"/>
      <name val="Segoe UI"/>
      <family val="2"/>
      <charset val="204"/>
    </font>
    <font>
      <sz val="12"/>
      <color rgb="FF0F1115"/>
      <name val="Segoe UI"/>
      <family val="2"/>
      <charset val="204"/>
    </font>
    <font>
      <sz val="11"/>
      <color rgb="FF0F1115"/>
      <name val="Segoe UI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41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9">
    <xf numFmtId="0" fontId="0" fillId="0" borderId="0" applyNumberFormat="0" applyFill="0" applyBorder="0" applyProtection="0">
      <alignment horizontal="center" vertical="center"/>
    </xf>
    <xf numFmtId="0" fontId="9" fillId="0" borderId="0" applyNumberFormat="0" applyFill="0" applyBorder="0" applyAlignment="0" applyProtection="0"/>
    <xf numFmtId="0" fontId="3" fillId="0" borderId="0" applyFill="0" applyBorder="0" applyProtection="0">
      <alignment horizontal="left" wrapText="1"/>
    </xf>
    <xf numFmtId="3" fontId="11" fillId="0" borderId="2" applyFill="0" applyProtection="0">
      <alignment horizontal="center"/>
    </xf>
    <xf numFmtId="0" fontId="11" fillId="0" borderId="0" applyFill="0" applyBorder="0" applyProtection="0">
      <alignment horizontal="center" wrapText="1"/>
    </xf>
    <xf numFmtId="0" fontId="2" fillId="0" borderId="0" applyNumberFormat="0" applyFill="0" applyBorder="0" applyProtection="0">
      <alignment horizontal="left" vertical="center"/>
    </xf>
    <xf numFmtId="9" fontId="4" fillId="0" borderId="0" applyFill="0" applyBorder="0" applyProtection="0">
      <alignment horizontal="center" vertical="center"/>
    </xf>
    <xf numFmtId="0" fontId="10" fillId="6" borderId="1" applyNumberFormat="0" applyProtection="0">
      <alignment horizontal="left" vertical="center"/>
    </xf>
    <xf numFmtId="0" fontId="9" fillId="0" borderId="0" applyNumberFormat="0" applyFill="0" applyBorder="0" applyProtection="0">
      <alignment vertical="center"/>
    </xf>
    <xf numFmtId="0" fontId="11" fillId="0" borderId="0" applyFill="0" applyProtection="0">
      <alignment vertical="center"/>
    </xf>
    <xf numFmtId="0" fontId="11" fillId="0" borderId="0" applyFill="0" applyProtection="0">
      <alignment horizontal="center" vertical="center" wrapText="1"/>
    </xf>
    <xf numFmtId="0" fontId="11" fillId="0" borderId="0" applyFill="0" applyProtection="0">
      <alignment horizontal="left"/>
    </xf>
    <xf numFmtId="0" fontId="13" fillId="0" borderId="0" applyNumberFormat="0" applyFill="0" applyBorder="0" applyProtection="0">
      <alignment vertical="center"/>
    </xf>
    <xf numFmtId="1" fontId="14" fillId="6" borderId="1">
      <alignment horizontal="center" vertical="center"/>
    </xf>
    <xf numFmtId="0" fontId="12" fillId="2" borderId="4" applyNumberFormat="0" applyFont="0" applyAlignment="0">
      <alignment horizontal="center"/>
    </xf>
    <xf numFmtId="0" fontId="12" fillId="3" borderId="3" applyNumberFormat="0" applyFont="0" applyAlignment="0">
      <alignment horizontal="center"/>
    </xf>
    <xf numFmtId="0" fontId="12" fillId="4" borderId="3" applyNumberFormat="0" applyFont="0" applyAlignment="0">
      <alignment horizontal="center"/>
    </xf>
    <xf numFmtId="0" fontId="12" fillId="5" borderId="3" applyNumberFormat="0" applyFont="0" applyAlignment="0">
      <alignment horizontal="center"/>
    </xf>
    <xf numFmtId="0" fontId="12" fillId="7" borderId="3" applyNumberFormat="0" applyFont="0" applyAlignment="0">
      <alignment horizontal="center"/>
    </xf>
    <xf numFmtId="165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5" fillId="8" borderId="0" applyNumberFormat="0" applyBorder="0" applyAlignment="0" applyProtection="0"/>
    <xf numFmtId="0" fontId="16" fillId="9" borderId="0" applyNumberFormat="0" applyBorder="0" applyAlignment="0" applyProtection="0"/>
    <xf numFmtId="0" fontId="17" fillId="10" borderId="0" applyNumberFormat="0" applyBorder="0" applyAlignment="0" applyProtection="0"/>
    <xf numFmtId="0" fontId="18" fillId="11" borderId="8" applyNumberFormat="0" applyAlignment="0" applyProtection="0"/>
    <xf numFmtId="0" fontId="19" fillId="12" borderId="9" applyNumberFormat="0" applyAlignment="0" applyProtection="0"/>
    <xf numFmtId="0" fontId="20" fillId="12" borderId="8" applyNumberFormat="0" applyAlignment="0" applyProtection="0"/>
    <xf numFmtId="0" fontId="21" fillId="0" borderId="10" applyNumberFormat="0" applyFill="0" applyAlignment="0" applyProtection="0"/>
    <xf numFmtId="0" fontId="22" fillId="13" borderId="11" applyNumberFormat="0" applyAlignment="0" applyProtection="0"/>
    <xf numFmtId="0" fontId="23" fillId="0" borderId="0" applyNumberFormat="0" applyFill="0" applyBorder="0" applyAlignment="0" applyProtection="0"/>
    <xf numFmtId="0" fontId="12" fillId="14" borderId="12" applyNumberFormat="0" applyFont="0" applyAlignment="0" applyProtection="0"/>
    <xf numFmtId="0" fontId="24" fillId="0" borderId="13" applyNumberFormat="0" applyFill="0" applyAlignment="0" applyProtection="0"/>
    <xf numFmtId="0" fontId="25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5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5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5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5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5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</cellStyleXfs>
  <cellXfs count="85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3" fontId="11" fillId="0" borderId="2" xfId="3">
      <alignment horizontal="center"/>
    </xf>
    <xf numFmtId="9" fontId="7" fillId="0" borderId="0" xfId="6" applyFont="1">
      <alignment horizontal="center" vertical="center"/>
    </xf>
    <xf numFmtId="0" fontId="11" fillId="0" borderId="0" xfId="4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9" fillId="0" borderId="0" xfId="1" applyAlignment="1">
      <alignment horizontal="center"/>
    </xf>
    <xf numFmtId="0" fontId="9" fillId="0" borderId="0" xfId="8">
      <alignment vertical="center"/>
    </xf>
    <xf numFmtId="1" fontId="14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1" fillId="0" borderId="0" xfId="11">
      <alignment horizontal="left"/>
    </xf>
    <xf numFmtId="0" fontId="5" fillId="0" borderId="0" xfId="2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11" fillId="0" borderId="0" xfId="9">
      <alignment vertical="center"/>
    </xf>
    <xf numFmtId="0" fontId="11" fillId="0" borderId="0" xfId="10">
      <alignment horizontal="center" vertical="center" wrapText="1"/>
    </xf>
    <xf numFmtId="0" fontId="11" fillId="0" borderId="5" xfId="10" applyBorder="1">
      <alignment horizontal="center" vertical="center" wrapText="1"/>
    </xf>
    <xf numFmtId="0" fontId="27" fillId="0" borderId="0" xfId="0" applyFont="1" applyAlignment="1">
      <alignment vertical="center" wrapText="1"/>
    </xf>
    <xf numFmtId="0" fontId="6" fillId="0" borderId="14" xfId="10" applyFont="1" applyBorder="1" applyAlignment="1">
      <alignment horizontal="center" vertical="center"/>
    </xf>
    <xf numFmtId="0" fontId="11" fillId="0" borderId="0" xfId="10" applyBorder="1">
      <alignment horizontal="center" vertical="center" wrapText="1"/>
    </xf>
    <xf numFmtId="0" fontId="6" fillId="0" borderId="15" xfId="10" applyFont="1" applyBorder="1" applyAlignment="1">
      <alignment horizontal="center" vertical="center"/>
    </xf>
    <xf numFmtId="0" fontId="27" fillId="0" borderId="0" xfId="0" applyFont="1">
      <alignment horizontal="center" vertical="center"/>
    </xf>
    <xf numFmtId="0" fontId="11" fillId="0" borderId="0" xfId="9" applyBorder="1">
      <alignment vertical="center"/>
    </xf>
    <xf numFmtId="0" fontId="27" fillId="0" borderId="15" xfId="0" applyFont="1" applyBorder="1">
      <alignment horizontal="center" vertical="center"/>
    </xf>
    <xf numFmtId="0" fontId="5" fillId="0" borderId="15" xfId="2" applyFont="1" applyBorder="1" applyAlignment="1">
      <alignment horizontal="left" vertical="center" wrapText="1"/>
    </xf>
    <xf numFmtId="0" fontId="6" fillId="0" borderId="15" xfId="0" applyFont="1" applyBorder="1" applyAlignment="1">
      <alignment horizontal="center" vertical="center"/>
    </xf>
    <xf numFmtId="9" fontId="7" fillId="0" borderId="15" xfId="6" applyFont="1" applyBorder="1">
      <alignment horizontal="center" vertical="center"/>
    </xf>
    <xf numFmtId="0" fontId="27" fillId="0" borderId="16" xfId="0" applyFont="1" applyBorder="1">
      <alignment horizontal="center" vertical="center"/>
    </xf>
    <xf numFmtId="0" fontId="5" fillId="0" borderId="16" xfId="2" applyFont="1" applyBorder="1" applyAlignment="1">
      <alignment horizontal="left" vertical="center" wrapText="1"/>
    </xf>
    <xf numFmtId="0" fontId="6" fillId="0" borderId="16" xfId="0" applyFont="1" applyBorder="1" applyAlignment="1">
      <alignment horizontal="center" vertical="center"/>
    </xf>
    <xf numFmtId="0" fontId="10" fillId="6" borderId="5" xfId="7" applyBorder="1">
      <alignment horizontal="left" vertical="center"/>
    </xf>
    <xf numFmtId="0" fontId="11" fillId="0" borderId="19" xfId="9" applyBorder="1" applyAlignment="1">
      <alignment vertical="center" wrapText="1"/>
    </xf>
    <xf numFmtId="0" fontId="11" fillId="0" borderId="19" xfId="9" applyBorder="1" applyAlignment="1">
      <alignment horizontal="center" vertical="center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horizontal="left" vertical="center" wrapText="1"/>
    </xf>
    <xf numFmtId="0" fontId="0" fillId="0" borderId="20" xfId="0" applyBorder="1">
      <alignment horizontal="center" vertical="center"/>
    </xf>
    <xf numFmtId="0" fontId="0" fillId="0" borderId="21" xfId="0" applyBorder="1">
      <alignment horizontal="center" vertical="center"/>
    </xf>
    <xf numFmtId="0" fontId="11" fillId="0" borderId="22" xfId="9" applyBorder="1">
      <alignment vertical="center"/>
    </xf>
    <xf numFmtId="0" fontId="14" fillId="0" borderId="15" xfId="0" applyFont="1" applyBorder="1">
      <alignment horizontal="center" vertical="center"/>
    </xf>
    <xf numFmtId="3" fontId="5" fillId="0" borderId="15" xfId="2" applyNumberFormat="1" applyFont="1" applyBorder="1" applyAlignment="1">
      <alignment horizontal="left" vertical="center" wrapText="1"/>
    </xf>
    <xf numFmtId="0" fontId="6" fillId="39" borderId="15" xfId="0" applyFont="1" applyFill="1" applyBorder="1" applyAlignment="1">
      <alignment horizontal="center" vertical="center"/>
    </xf>
    <xf numFmtId="3" fontId="7" fillId="39" borderId="15" xfId="19" applyNumberFormat="1" applyFont="1" applyFill="1" applyBorder="1" applyAlignment="1">
      <alignment horizontal="center" vertical="center"/>
    </xf>
    <xf numFmtId="9" fontId="6" fillId="39" borderId="15" xfId="6" applyFont="1" applyFill="1" applyBorder="1" applyAlignment="1">
      <alignment horizontal="center" vertical="center"/>
    </xf>
    <xf numFmtId="0" fontId="28" fillId="39" borderId="15" xfId="0" applyFont="1" applyFill="1" applyBorder="1" applyAlignment="1">
      <alignment horizontal="center" vertical="center"/>
    </xf>
    <xf numFmtId="0" fontId="30" fillId="40" borderId="15" xfId="0" applyFont="1" applyFill="1" applyBorder="1" applyAlignment="1">
      <alignment horizontal="left" vertical="center" wrapText="1" indent="1"/>
    </xf>
    <xf numFmtId="0" fontId="29" fillId="40" borderId="23" xfId="0" applyFont="1" applyFill="1" applyBorder="1" applyAlignment="1">
      <alignment horizontal="left" vertical="center" wrapText="1" indent="1"/>
    </xf>
    <xf numFmtId="0" fontId="29" fillId="40" borderId="24" xfId="0" applyFont="1" applyFill="1" applyBorder="1" applyAlignment="1">
      <alignment horizontal="left" vertical="center" wrapText="1" indent="1"/>
    </xf>
    <xf numFmtId="0" fontId="29" fillId="40" borderId="25" xfId="0" applyFont="1" applyFill="1" applyBorder="1" applyAlignment="1">
      <alignment horizontal="left" vertical="center" wrapText="1" indent="1"/>
    </xf>
    <xf numFmtId="0" fontId="30" fillId="40" borderId="26" xfId="0" applyFont="1" applyFill="1" applyBorder="1" applyAlignment="1">
      <alignment horizontal="left" vertical="center" wrapText="1" indent="1"/>
    </xf>
    <xf numFmtId="0" fontId="30" fillId="40" borderId="27" xfId="0" applyFont="1" applyFill="1" applyBorder="1" applyAlignment="1">
      <alignment horizontal="left" vertical="center" wrapText="1" indent="1"/>
    </xf>
    <xf numFmtId="0" fontId="30" fillId="40" borderId="28" xfId="0" applyFont="1" applyFill="1" applyBorder="1" applyAlignment="1">
      <alignment horizontal="left" vertical="center" wrapText="1" indent="1"/>
    </xf>
    <xf numFmtId="0" fontId="30" fillId="40" borderId="29" xfId="0" applyFont="1" applyFill="1" applyBorder="1" applyAlignment="1">
      <alignment horizontal="left" vertical="center" wrapText="1" indent="1"/>
    </xf>
    <xf numFmtId="0" fontId="30" fillId="40" borderId="30" xfId="0" applyFont="1" applyFill="1" applyBorder="1" applyAlignment="1">
      <alignment horizontal="left" vertical="center" wrapText="1" indent="1"/>
    </xf>
    <xf numFmtId="0" fontId="32" fillId="0" borderId="0" xfId="0" applyFont="1" applyAlignment="1">
      <alignment horizontal="center" vertical="center" wrapText="1"/>
    </xf>
    <xf numFmtId="0" fontId="31" fillId="0" borderId="0" xfId="0" applyFont="1" applyAlignment="1">
      <alignment horizontal="left" vertical="center" wrapText="1" indent="1"/>
    </xf>
    <xf numFmtId="0" fontId="32" fillId="0" borderId="0" xfId="0" applyFont="1">
      <alignment horizontal="center" vertical="center"/>
    </xf>
    <xf numFmtId="0" fontId="26" fillId="0" borderId="6" xfId="5" applyFont="1" applyBorder="1">
      <alignment horizontal="left" vertical="center"/>
    </xf>
    <xf numFmtId="0" fontId="26" fillId="0" borderId="0" xfId="5" applyFont="1" applyBorder="1">
      <alignment horizontal="left" vertical="center"/>
    </xf>
    <xf numFmtId="0" fontId="13" fillId="0" borderId="0" xfId="12">
      <alignment vertical="center"/>
    </xf>
    <xf numFmtId="0" fontId="11" fillId="0" borderId="19" xfId="9" applyBorder="1">
      <alignment vertical="center"/>
    </xf>
    <xf numFmtId="0" fontId="11" fillId="0" borderId="22" xfId="9" applyBorder="1">
      <alignment vertical="center"/>
    </xf>
    <xf numFmtId="0" fontId="11" fillId="0" borderId="19" xfId="10" applyBorder="1">
      <alignment horizontal="center" vertical="center" wrapText="1"/>
    </xf>
    <xf numFmtId="0" fontId="11" fillId="0" borderId="22" xfId="10" applyBorder="1">
      <alignment horizontal="center" vertical="center" wrapText="1"/>
    </xf>
    <xf numFmtId="0" fontId="11" fillId="0" borderId="18" xfId="10" applyBorder="1">
      <alignment horizontal="center" vertical="center" wrapText="1"/>
    </xf>
    <xf numFmtId="0" fontId="11" fillId="0" borderId="21" xfId="10" applyBorder="1">
      <alignment horizontal="center" vertical="center" wrapText="1"/>
    </xf>
    <xf numFmtId="0" fontId="8" fillId="0" borderId="6" xfId="5" applyFont="1" applyBorder="1">
      <alignment horizontal="left" vertical="center"/>
    </xf>
    <xf numFmtId="0" fontId="8" fillId="0" borderId="0" xfId="5" applyFont="1">
      <alignment horizontal="left" vertical="center"/>
    </xf>
    <xf numFmtId="0" fontId="8" fillId="0" borderId="7" xfId="5" applyFont="1" applyBorder="1">
      <alignment horizontal="left" vertical="center"/>
    </xf>
    <xf numFmtId="0" fontId="8" fillId="0" borderId="0" xfId="5" applyFont="1" applyBorder="1">
      <alignment horizontal="left" vertical="center"/>
    </xf>
    <xf numFmtId="0" fontId="26" fillId="0" borderId="7" xfId="5" applyFont="1" applyBorder="1">
      <alignment horizontal="left" vertical="center"/>
    </xf>
    <xf numFmtId="0" fontId="26" fillId="0" borderId="6" xfId="5" applyFont="1" applyBorder="1" applyAlignment="1">
      <alignment horizontal="left" vertical="center"/>
    </xf>
    <xf numFmtId="0" fontId="26" fillId="0" borderId="0" xfId="5" applyFont="1" applyBorder="1" applyAlignment="1">
      <alignment horizontal="left" vertical="center"/>
    </xf>
    <xf numFmtId="0" fontId="26" fillId="0" borderId="7" xfId="5" applyFont="1" applyBorder="1" applyAlignment="1">
      <alignment horizontal="left" vertical="center"/>
    </xf>
    <xf numFmtId="0" fontId="33" fillId="40" borderId="15" xfId="0" applyFont="1" applyFill="1" applyBorder="1" applyAlignment="1">
      <alignment horizontal="left" vertical="center" wrapText="1" indent="1"/>
    </xf>
    <xf numFmtId="0" fontId="29" fillId="40" borderId="15" xfId="0" applyFont="1" applyFill="1" applyBorder="1" applyAlignment="1">
      <alignment horizontal="left" vertical="center" wrapText="1" indent="1"/>
    </xf>
    <xf numFmtId="0" fontId="0" fillId="0" borderId="15" xfId="0" applyBorder="1">
      <alignment horizontal="center" vertical="center"/>
    </xf>
    <xf numFmtId="0" fontId="29" fillId="40" borderId="15" xfId="0" applyFont="1" applyFill="1" applyBorder="1" applyAlignment="1">
      <alignment horizontal="right" vertical="center" wrapText="1" indent="1"/>
    </xf>
    <xf numFmtId="0" fontId="34" fillId="0" borderId="31" xfId="0" applyFont="1" applyBorder="1" applyAlignment="1">
      <alignment horizontal="center" vertical="center" wrapText="1" readingOrder="1"/>
    </xf>
    <xf numFmtId="0" fontId="35" fillId="0" borderId="31" xfId="0" applyFont="1" applyBorder="1" applyAlignment="1">
      <alignment horizontal="center" vertical="center" wrapText="1" readingOrder="1"/>
    </xf>
  </cellXfs>
  <cellStyles count="59">
    <cellStyle name="% выполнения" xfId="16" xr:uid="{00000000-0005-0000-0000-000000000000}"/>
    <cellStyle name="20% — акцент1" xfId="36" builtinId="30" customBuiltin="1"/>
    <cellStyle name="20% — акцент2" xfId="40" builtinId="34" customBuiltin="1"/>
    <cellStyle name="20% — акцент3" xfId="44" builtinId="38" customBuiltin="1"/>
    <cellStyle name="20% — акцент4" xfId="48" builtinId="42" customBuiltin="1"/>
    <cellStyle name="20% — акцент5" xfId="52" builtinId="46" customBuiltin="1"/>
    <cellStyle name="20% — акцент6" xfId="56" builtinId="50" customBuiltin="1"/>
    <cellStyle name="40% — акцент1" xfId="37" builtinId="31" customBuiltin="1"/>
    <cellStyle name="40% — акцент2" xfId="41" builtinId="35" customBuiltin="1"/>
    <cellStyle name="40% — акцент3" xfId="45" builtinId="39" customBuiltin="1"/>
    <cellStyle name="40% — акцент4" xfId="49" builtinId="43" customBuiltin="1"/>
    <cellStyle name="40% — акцент5" xfId="53" builtinId="47" customBuiltin="1"/>
    <cellStyle name="40% — акцент6" xfId="57" builtinId="51" customBuiltin="1"/>
    <cellStyle name="60% — акцент1" xfId="38" builtinId="32" customBuiltin="1"/>
    <cellStyle name="60% — акцент2" xfId="42" builtinId="36" customBuiltin="1"/>
    <cellStyle name="60% — акцент3" xfId="46" builtinId="40" customBuiltin="1"/>
    <cellStyle name="60% — акцент4" xfId="50" builtinId="44" customBuiltin="1"/>
    <cellStyle name="60% — акцент5" xfId="54" builtinId="48" customBuiltin="1"/>
    <cellStyle name="60% — акцент6" xfId="58" builtinId="52" customBuiltin="1"/>
    <cellStyle name="Акцент1" xfId="35" builtinId="29" customBuiltin="1"/>
    <cellStyle name="Акцент2" xfId="39" builtinId="33" customBuiltin="1"/>
    <cellStyle name="Акцент3" xfId="43" builtinId="37" customBuiltin="1"/>
    <cellStyle name="Акцент4" xfId="47" builtinId="41" customBuiltin="1"/>
    <cellStyle name="Акцент5" xfId="51" builtinId="45" customBuiltin="1"/>
    <cellStyle name="Акцент6" xfId="55" builtinId="49" customBuiltin="1"/>
    <cellStyle name="Ввод " xfId="27" builtinId="20" customBuiltin="1"/>
    <cellStyle name="Вывод" xfId="28" builtinId="21" customBuiltin="1"/>
    <cellStyle name="Вычисление" xfId="29" builtinId="22" customBuiltin="1"/>
    <cellStyle name="Действие" xfId="2" xr:uid="{00000000-0005-0000-0000-000002000000}"/>
    <cellStyle name="Денежный" xfId="21" builtinId="4" customBuiltin="1"/>
    <cellStyle name="Денежный [0]" xfId="22" builtinId="7" customBuiltin="1"/>
    <cellStyle name="Заголовки периодов" xfId="3" xr:uid="{00000000-0005-0000-0000-00000D000000}"/>
    <cellStyle name="Заголовки проекта" xfId="4" xr:uid="{00000000-0005-0000-0000-000011000000}"/>
    <cellStyle name="Заголовок 1" xfId="1" builtinId="16" customBuiltin="1"/>
    <cellStyle name="Заголовок 2" xfId="9" builtinId="17" customBuiltin="1"/>
    <cellStyle name="Заголовок 3" xfId="10" builtinId="18" customBuiltin="1"/>
    <cellStyle name="Заголовок 4" xfId="11" builtinId="19" customBuiltin="1"/>
    <cellStyle name="Значение периода" xfId="13" xr:uid="{00000000-0005-0000-0000-00000F000000}"/>
    <cellStyle name="Итог" xfId="34" builtinId="25" customBuiltin="1"/>
    <cellStyle name="Контрольная ячейка" xfId="31" builtinId="23" customBuiltin="1"/>
    <cellStyle name="Метка" xfId="5" xr:uid="{00000000-0005-0000-0000-00000A000000}"/>
    <cellStyle name="Название" xfId="8" builtinId="15" customBuiltin="1"/>
    <cellStyle name="Нейтральный" xfId="26" builtinId="28" customBuiltin="1"/>
    <cellStyle name="Обычный" xfId="0" builtinId="0" customBuiltin="1"/>
    <cellStyle name="Плохой" xfId="25" builtinId="27" customBuiltin="1"/>
    <cellStyle name="Пояснение" xfId="12" builtinId="53" customBuiltin="1"/>
    <cellStyle name="Примечание" xfId="33" builtinId="10" customBuiltin="1"/>
    <cellStyle name="Процент выполнения" xfId="6" xr:uid="{00000000-0005-0000-0000-00000C000000}"/>
    <cellStyle name="Процентный" xfId="23" builtinId="5" customBuiltin="1"/>
    <cellStyle name="Связанная ячейка" xfId="30" builtinId="24" customBuiltin="1"/>
    <cellStyle name="Текст предупреждения" xfId="32" builtinId="11" customBuiltin="1"/>
    <cellStyle name="Управление выделением периода" xfId="7" xr:uid="{00000000-0005-0000-0000-00000E000000}"/>
    <cellStyle name="Условное обозначение для % выполнения (внепланового)" xfId="18" xr:uid="{00000000-0005-0000-0000-000001000000}"/>
    <cellStyle name="Условное обозначение для действия (внепланового)" xfId="17" xr:uid="{00000000-0005-0000-0000-000003000000}"/>
    <cellStyle name="Условное обозначение плана" xfId="14" xr:uid="{00000000-0005-0000-0000-000010000000}"/>
    <cellStyle name="Условные обозначения для фактических значений" xfId="15" xr:uid="{00000000-0005-0000-0000-000004000000}"/>
    <cellStyle name="Финансовый" xfId="19" builtinId="3" customBuiltin="1"/>
    <cellStyle name="Финансовый [0]" xfId="20" builtinId="6" customBuiltin="1"/>
    <cellStyle name="Хороший" xfId="24" builtinId="26" customBuiltin="1"/>
  </cellStyles>
  <dxfs count="23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7"/>
        <name val="Calibri"/>
        <family val="2"/>
        <charset val="204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 tint="0.24994659260841701"/>
        <name val="Calibri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 tint="0.24994659260841701"/>
        <name val="Corbel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charset val="204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4F915C-0BFF-470E-990B-BCFBDA484CD2}" name="Таблица1" displayName="Таблица1" ref="B4:L28" totalsRowShown="0" dataDxfId="22" tableBorderDxfId="21" headerRowCellStyle="Заголовок 3">
  <tableColumns count="11">
    <tableColumn id="1" xr3:uid="{70BAD74B-C978-441D-8821-FE1A4D36FAC8}" name="Столбец1" dataDxfId="20"/>
    <tableColumn id="2" xr3:uid="{3FBFAAE4-E14A-4094-A2FF-336EA6EDE45C}" name="Столбец2" dataDxfId="19" dataCellStyle="Действие"/>
    <tableColumn id="11" xr3:uid="{10004F87-BF3B-467D-BA36-6C813A39DB17}" name="Столбец3" dataDxfId="18" dataCellStyle="Действие"/>
    <tableColumn id="12" xr3:uid="{07AB9ACE-B882-4BE9-8E92-49BDA2987512}" name="Столбец32" dataDxfId="17"/>
    <tableColumn id="3" xr3:uid="{CEB3BB88-4ED6-4404-A7DE-0271F1024840}" name="Столбец4" dataDxfId="16"/>
    <tableColumn id="4" xr3:uid="{B872C95D-9D0D-416B-A3AA-9F4A882242DC}" name="Столбец5" dataDxfId="15"/>
    <tableColumn id="5" xr3:uid="{2D9FB4D1-6EBB-4EB1-8D5F-B97B36C7E334}" name="Столбец6" dataDxfId="14">
      <calculatedColumnFormula>F5+G5</calculatedColumnFormula>
    </tableColumn>
    <tableColumn id="8" xr3:uid="{4935DB48-C1AE-4EC4-B792-996760F35320}" name="Столбец7" dataDxfId="13"/>
    <tableColumn id="9" xr3:uid="{BC7436F5-7778-4179-8F3B-348D60C7B2CE}" name="Столбец8" dataDxfId="12"/>
    <tableColumn id="7" xr3:uid="{60BF097E-EE0C-4BED-A1CD-F636D2A08AEB}" name="Столбец9" dataDxfId="11" dataCellStyle="Процент выполнения"/>
    <tableColumn id="10" xr3:uid="{64490510-C17A-4A03-9808-56EA788D835B}" name="Столбец10" dataDxfId="1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00DF9-9457-4664-A03A-12B81D72FE3B}">
  <dimension ref="A1:G34"/>
  <sheetViews>
    <sheetView topLeftCell="A13" workbookViewId="0">
      <selection activeCell="G39" sqref="G39"/>
    </sheetView>
  </sheetViews>
  <sheetFormatPr defaultRowHeight="15" x14ac:dyDescent="0.25"/>
  <cols>
    <col min="4" max="4" width="57.875" customWidth="1"/>
    <col min="7" max="7" width="57.625" customWidth="1"/>
  </cols>
  <sheetData>
    <row r="1" spans="1:4" ht="17.25" x14ac:dyDescent="0.25">
      <c r="A1" t="s">
        <v>79</v>
      </c>
      <c r="D1" s="61" t="s">
        <v>96</v>
      </c>
    </row>
    <row r="2" spans="1:4" ht="17.25" x14ac:dyDescent="0.25">
      <c r="D2" s="59" t="s">
        <v>80</v>
      </c>
    </row>
    <row r="3" spans="1:4" ht="34.5" x14ac:dyDescent="0.25">
      <c r="D3" s="60" t="s">
        <v>81</v>
      </c>
    </row>
    <row r="4" spans="1:4" ht="34.5" x14ac:dyDescent="0.25">
      <c r="D4" s="60" t="s">
        <v>82</v>
      </c>
    </row>
    <row r="5" spans="1:4" ht="34.5" x14ac:dyDescent="0.25">
      <c r="D5" s="60" t="s">
        <v>83</v>
      </c>
    </row>
    <row r="6" spans="1:4" ht="17.25" x14ac:dyDescent="0.25">
      <c r="D6" s="59" t="s">
        <v>84</v>
      </c>
    </row>
    <row r="7" spans="1:4" ht="34.5" x14ac:dyDescent="0.25">
      <c r="D7" s="60" t="s">
        <v>85</v>
      </c>
    </row>
    <row r="8" spans="1:4" ht="17.25" x14ac:dyDescent="0.25">
      <c r="D8" s="60" t="s">
        <v>86</v>
      </c>
    </row>
    <row r="9" spans="1:4" ht="34.5" x14ac:dyDescent="0.25">
      <c r="D9" s="60" t="s">
        <v>87</v>
      </c>
    </row>
    <row r="10" spans="1:4" ht="17.25" x14ac:dyDescent="0.25">
      <c r="D10" s="59" t="s">
        <v>88</v>
      </c>
    </row>
    <row r="11" spans="1:4" ht="34.5" x14ac:dyDescent="0.25">
      <c r="D11" s="60" t="s">
        <v>89</v>
      </c>
    </row>
    <row r="12" spans="1:4" ht="51.75" x14ac:dyDescent="0.25">
      <c r="D12" s="60" t="s">
        <v>90</v>
      </c>
    </row>
    <row r="13" spans="1:4" ht="17.25" x14ac:dyDescent="0.25">
      <c r="D13" s="60" t="s">
        <v>91</v>
      </c>
    </row>
    <row r="14" spans="1:4" ht="34.5" x14ac:dyDescent="0.25">
      <c r="D14" s="60" t="s">
        <v>92</v>
      </c>
    </row>
    <row r="15" spans="1:4" ht="17.25" x14ac:dyDescent="0.25">
      <c r="D15" s="59" t="s">
        <v>93</v>
      </c>
    </row>
    <row r="16" spans="1:4" ht="34.5" x14ac:dyDescent="0.25">
      <c r="D16" s="60" t="s">
        <v>94</v>
      </c>
    </row>
    <row r="17" spans="3:7" ht="51.75" x14ac:dyDescent="0.25">
      <c r="D17" s="60" t="s">
        <v>95</v>
      </c>
    </row>
    <row r="21" spans="3:7" ht="15.75" thickBot="1" x14ac:dyDescent="0.3"/>
    <row r="22" spans="3:7" ht="66" x14ac:dyDescent="0.25">
      <c r="C22" s="51" t="s">
        <v>37</v>
      </c>
      <c r="D22" s="52" t="s">
        <v>48</v>
      </c>
      <c r="E22" s="52" t="s">
        <v>49</v>
      </c>
      <c r="F22" s="52" t="s">
        <v>50</v>
      </c>
      <c r="G22" s="53" t="s">
        <v>51</v>
      </c>
    </row>
    <row r="23" spans="3:7" ht="16.5" x14ac:dyDescent="0.25">
      <c r="C23" s="54">
        <v>1</v>
      </c>
      <c r="D23" s="50" t="s">
        <v>52</v>
      </c>
      <c r="E23" s="50" t="s">
        <v>53</v>
      </c>
      <c r="F23" s="50">
        <v>3</v>
      </c>
      <c r="G23" s="55" t="s">
        <v>54</v>
      </c>
    </row>
    <row r="24" spans="3:7" ht="16.5" x14ac:dyDescent="0.25">
      <c r="C24" s="54">
        <v>2</v>
      </c>
      <c r="D24" s="50" t="s">
        <v>55</v>
      </c>
      <c r="E24" s="50">
        <v>1</v>
      </c>
      <c r="F24" s="50">
        <v>5</v>
      </c>
      <c r="G24" s="55" t="s">
        <v>56</v>
      </c>
    </row>
    <row r="25" spans="3:7" ht="16.5" x14ac:dyDescent="0.25">
      <c r="C25" s="54">
        <v>3</v>
      </c>
      <c r="D25" s="50" t="s">
        <v>57</v>
      </c>
      <c r="E25" s="50">
        <v>2</v>
      </c>
      <c r="F25" s="50">
        <v>4</v>
      </c>
      <c r="G25" s="55" t="s">
        <v>58</v>
      </c>
    </row>
    <row r="26" spans="3:7" ht="16.5" x14ac:dyDescent="0.25">
      <c r="C26" s="54">
        <v>4</v>
      </c>
      <c r="D26" s="50" t="s">
        <v>59</v>
      </c>
      <c r="E26" s="50">
        <v>1</v>
      </c>
      <c r="F26" s="50">
        <v>6</v>
      </c>
      <c r="G26" s="55" t="s">
        <v>60</v>
      </c>
    </row>
    <row r="27" spans="3:7" ht="16.5" x14ac:dyDescent="0.25">
      <c r="C27" s="54">
        <v>5</v>
      </c>
      <c r="D27" s="50" t="s">
        <v>61</v>
      </c>
      <c r="E27" s="50">
        <v>4</v>
      </c>
      <c r="F27" s="50">
        <v>3</v>
      </c>
      <c r="G27" s="55" t="s">
        <v>62</v>
      </c>
    </row>
    <row r="28" spans="3:7" ht="16.5" x14ac:dyDescent="0.25">
      <c r="C28" s="54">
        <v>6</v>
      </c>
      <c r="D28" s="50" t="s">
        <v>63</v>
      </c>
      <c r="E28" s="50" t="s">
        <v>64</v>
      </c>
      <c r="F28" s="50">
        <v>3</v>
      </c>
      <c r="G28" s="55" t="s">
        <v>65</v>
      </c>
    </row>
    <row r="29" spans="3:7" ht="16.5" x14ac:dyDescent="0.25">
      <c r="C29" s="54">
        <v>7</v>
      </c>
      <c r="D29" s="50" t="s">
        <v>66</v>
      </c>
      <c r="E29" s="50">
        <v>6</v>
      </c>
      <c r="F29" s="50">
        <v>8</v>
      </c>
      <c r="G29" s="55" t="s">
        <v>67</v>
      </c>
    </row>
    <row r="30" spans="3:7" ht="16.5" x14ac:dyDescent="0.25">
      <c r="C30" s="54">
        <v>8</v>
      </c>
      <c r="D30" s="50" t="s">
        <v>68</v>
      </c>
      <c r="E30" s="50">
        <v>6</v>
      </c>
      <c r="F30" s="50">
        <v>10</v>
      </c>
      <c r="G30" s="55" t="s">
        <v>69</v>
      </c>
    </row>
    <row r="31" spans="3:7" ht="16.5" x14ac:dyDescent="0.25">
      <c r="C31" s="54">
        <v>9</v>
      </c>
      <c r="D31" s="50" t="s">
        <v>70</v>
      </c>
      <c r="E31" s="50" t="s">
        <v>71</v>
      </c>
      <c r="F31" s="50">
        <v>2</v>
      </c>
      <c r="G31" s="55" t="s">
        <v>72</v>
      </c>
    </row>
    <row r="32" spans="3:7" ht="16.5" x14ac:dyDescent="0.25">
      <c r="C32" s="54">
        <v>10</v>
      </c>
      <c r="D32" s="50" t="s">
        <v>73</v>
      </c>
      <c r="E32" s="50">
        <v>9</v>
      </c>
      <c r="F32" s="50">
        <v>20</v>
      </c>
      <c r="G32" s="55" t="s">
        <v>74</v>
      </c>
    </row>
    <row r="33" spans="3:7" ht="16.5" x14ac:dyDescent="0.25">
      <c r="C33" s="54">
        <v>11</v>
      </c>
      <c r="D33" s="50" t="s">
        <v>75</v>
      </c>
      <c r="E33" s="50">
        <v>10</v>
      </c>
      <c r="F33" s="50">
        <v>4</v>
      </c>
      <c r="G33" s="55" t="s">
        <v>76</v>
      </c>
    </row>
    <row r="34" spans="3:7" ht="17.25" thickBot="1" x14ac:dyDescent="0.3">
      <c r="C34" s="56">
        <v>12</v>
      </c>
      <c r="D34" s="57" t="s">
        <v>77</v>
      </c>
      <c r="E34" s="57">
        <v>11</v>
      </c>
      <c r="F34" s="57">
        <v>5</v>
      </c>
      <c r="G34" s="58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8BFD1-77EC-4A7C-B346-09DF82C3A466}">
  <dimension ref="B3:F44"/>
  <sheetViews>
    <sheetView topLeftCell="A27" workbookViewId="0">
      <selection activeCell="B31" sqref="B31:F43"/>
    </sheetView>
  </sheetViews>
  <sheetFormatPr defaultRowHeight="15" x14ac:dyDescent="0.25"/>
  <cols>
    <col min="2" max="2" width="11.375" customWidth="1"/>
    <col min="3" max="3" width="29.375" customWidth="1"/>
    <col min="4" max="4" width="34" customWidth="1"/>
    <col min="5" max="5" width="23.875" customWidth="1"/>
    <col min="6" max="6" width="39" customWidth="1"/>
  </cols>
  <sheetData>
    <row r="3" spans="3:4" ht="16.5" x14ac:dyDescent="0.25">
      <c r="C3" s="79" t="s">
        <v>129</v>
      </c>
      <c r="D3" s="79" t="s">
        <v>98</v>
      </c>
    </row>
    <row r="4" spans="3:4" ht="45.75" customHeight="1" x14ac:dyDescent="0.25">
      <c r="C4" s="82" t="s">
        <v>153</v>
      </c>
      <c r="D4" s="82" t="s">
        <v>130</v>
      </c>
    </row>
    <row r="5" spans="3:4" ht="38.25" customHeight="1" x14ac:dyDescent="0.25">
      <c r="C5" s="82" t="s">
        <v>154</v>
      </c>
      <c r="D5" s="82" t="s">
        <v>131</v>
      </c>
    </row>
    <row r="6" spans="3:4" ht="39" customHeight="1" x14ac:dyDescent="0.25">
      <c r="C6" s="82" t="s">
        <v>155</v>
      </c>
      <c r="D6" s="82" t="s">
        <v>132</v>
      </c>
    </row>
    <row r="7" spans="3:4" ht="45" customHeight="1" x14ac:dyDescent="0.25">
      <c r="C7" s="82" t="s">
        <v>156</v>
      </c>
      <c r="D7" s="82" t="s">
        <v>133</v>
      </c>
    </row>
    <row r="8" spans="3:4" ht="54.75" customHeight="1" x14ac:dyDescent="0.25">
      <c r="C8" s="82" t="s">
        <v>157</v>
      </c>
      <c r="D8" s="82" t="s">
        <v>134</v>
      </c>
    </row>
    <row r="9" spans="3:4" ht="51.75" customHeight="1" x14ac:dyDescent="0.25">
      <c r="C9" s="82" t="s">
        <v>158</v>
      </c>
      <c r="D9" s="82" t="s">
        <v>105</v>
      </c>
    </row>
    <row r="10" spans="3:4" ht="33" x14ac:dyDescent="0.25">
      <c r="C10" s="82" t="s">
        <v>159</v>
      </c>
      <c r="D10" s="82" t="s">
        <v>135</v>
      </c>
    </row>
    <row r="11" spans="3:4" ht="33" x14ac:dyDescent="0.25">
      <c r="C11" s="82" t="s">
        <v>160</v>
      </c>
      <c r="D11" s="82" t="s">
        <v>136</v>
      </c>
    </row>
    <row r="12" spans="3:4" ht="16.5" x14ac:dyDescent="0.25">
      <c r="C12" s="82" t="s">
        <v>161</v>
      </c>
      <c r="D12" s="82" t="s">
        <v>137</v>
      </c>
    </row>
    <row r="13" spans="3:4" ht="33" x14ac:dyDescent="0.25">
      <c r="C13" s="82" t="s">
        <v>162</v>
      </c>
      <c r="D13" s="82" t="s">
        <v>138</v>
      </c>
    </row>
    <row r="14" spans="3:4" ht="33" x14ac:dyDescent="0.25">
      <c r="C14" s="82" t="s">
        <v>163</v>
      </c>
      <c r="D14" s="82" t="s">
        <v>139</v>
      </c>
    </row>
    <row r="15" spans="3:4" ht="33" x14ac:dyDescent="0.25">
      <c r="C15" s="82" t="s">
        <v>164</v>
      </c>
      <c r="D15" s="82" t="s">
        <v>140</v>
      </c>
    </row>
    <row r="16" spans="3:4" ht="16.5" x14ac:dyDescent="0.25">
      <c r="C16" s="82" t="s">
        <v>165</v>
      </c>
      <c r="D16" s="82" t="s">
        <v>141</v>
      </c>
    </row>
    <row r="17" spans="2:6" ht="33" x14ac:dyDescent="0.25">
      <c r="C17" s="82" t="s">
        <v>166</v>
      </c>
      <c r="D17" s="82" t="s">
        <v>142</v>
      </c>
    </row>
    <row r="18" spans="2:6" ht="33" x14ac:dyDescent="0.25">
      <c r="C18" s="82" t="s">
        <v>167</v>
      </c>
      <c r="D18" s="82" t="s">
        <v>143</v>
      </c>
    </row>
    <row r="19" spans="2:6" ht="33" x14ac:dyDescent="0.25">
      <c r="C19" s="82" t="s">
        <v>168</v>
      </c>
      <c r="D19" s="82" t="s">
        <v>144</v>
      </c>
    </row>
    <row r="20" spans="2:6" ht="16.5" x14ac:dyDescent="0.25">
      <c r="C20" s="82" t="s">
        <v>169</v>
      </c>
      <c r="D20" s="82" t="s">
        <v>145</v>
      </c>
    </row>
    <row r="21" spans="2:6" ht="33" x14ac:dyDescent="0.25">
      <c r="C21" s="82" t="s">
        <v>170</v>
      </c>
      <c r="D21" s="82" t="s">
        <v>146</v>
      </c>
    </row>
    <row r="22" spans="2:6" ht="33" x14ac:dyDescent="0.25">
      <c r="C22" s="82" t="s">
        <v>171</v>
      </c>
      <c r="D22" s="82" t="s">
        <v>147</v>
      </c>
    </row>
    <row r="23" spans="2:6" ht="33" x14ac:dyDescent="0.25">
      <c r="C23" s="82" t="s">
        <v>172</v>
      </c>
      <c r="D23" s="82" t="s">
        <v>148</v>
      </c>
    </row>
    <row r="24" spans="2:6" ht="16.5" x14ac:dyDescent="0.25">
      <c r="C24" s="82" t="s">
        <v>173</v>
      </c>
      <c r="D24" s="82" t="s">
        <v>149</v>
      </c>
    </row>
    <row r="25" spans="2:6" ht="33" x14ac:dyDescent="0.25">
      <c r="C25" s="82" t="s">
        <v>174</v>
      </c>
      <c r="D25" s="82" t="s">
        <v>150</v>
      </c>
    </row>
    <row r="26" spans="2:6" ht="33" x14ac:dyDescent="0.25">
      <c r="C26" s="82" t="s">
        <v>175</v>
      </c>
      <c r="D26" s="82" t="s">
        <v>151</v>
      </c>
    </row>
    <row r="27" spans="2:6" ht="33" x14ac:dyDescent="0.25">
      <c r="C27" s="82" t="s">
        <v>176</v>
      </c>
      <c r="D27" s="82" t="s">
        <v>152</v>
      </c>
    </row>
    <row r="31" spans="2:6" ht="33" x14ac:dyDescent="0.25">
      <c r="B31" s="79" t="s">
        <v>97</v>
      </c>
      <c r="C31" s="79" t="s">
        <v>98</v>
      </c>
      <c r="D31" s="79" t="s">
        <v>99</v>
      </c>
      <c r="E31" s="79" t="s">
        <v>128</v>
      </c>
      <c r="F31" s="79"/>
    </row>
    <row r="32" spans="2:6" ht="33" x14ac:dyDescent="0.25">
      <c r="B32" s="80" t="s">
        <v>100</v>
      </c>
      <c r="C32" s="80" t="s">
        <v>101</v>
      </c>
      <c r="D32" s="80">
        <v>2</v>
      </c>
      <c r="E32" s="80" t="s">
        <v>53</v>
      </c>
      <c r="F32" s="80"/>
    </row>
    <row r="33" spans="2:6" ht="33" x14ac:dyDescent="0.25">
      <c r="B33" s="80" t="s">
        <v>102</v>
      </c>
      <c r="C33" s="80" t="s">
        <v>103</v>
      </c>
      <c r="D33" s="80">
        <v>1.5</v>
      </c>
      <c r="E33" s="80" t="s">
        <v>100</v>
      </c>
      <c r="F33" s="80"/>
    </row>
    <row r="34" spans="2:6" ht="33" x14ac:dyDescent="0.25">
      <c r="B34" s="80" t="s">
        <v>104</v>
      </c>
      <c r="C34" s="80" t="s">
        <v>105</v>
      </c>
      <c r="D34" s="80">
        <v>2</v>
      </c>
      <c r="E34" s="80" t="s">
        <v>100</v>
      </c>
      <c r="F34" s="80"/>
    </row>
    <row r="35" spans="2:6" ht="33" x14ac:dyDescent="0.25">
      <c r="B35" s="80" t="s">
        <v>106</v>
      </c>
      <c r="C35" s="80" t="s">
        <v>107</v>
      </c>
      <c r="D35" s="80">
        <v>1.5</v>
      </c>
      <c r="E35" s="80" t="s">
        <v>100</v>
      </c>
      <c r="F35" s="80"/>
    </row>
    <row r="36" spans="2:6" ht="33" x14ac:dyDescent="0.25">
      <c r="B36" s="80" t="s">
        <v>108</v>
      </c>
      <c r="C36" s="80" t="s">
        <v>109</v>
      </c>
      <c r="D36" s="80">
        <v>4</v>
      </c>
      <c r="E36" s="80" t="s">
        <v>110</v>
      </c>
      <c r="F36" s="80"/>
    </row>
    <row r="37" spans="2:6" ht="33" x14ac:dyDescent="0.25">
      <c r="B37" s="80" t="s">
        <v>111</v>
      </c>
      <c r="C37" s="80" t="s">
        <v>112</v>
      </c>
      <c r="D37" s="80">
        <v>4</v>
      </c>
      <c r="E37" s="80" t="s">
        <v>113</v>
      </c>
      <c r="F37" s="80"/>
    </row>
    <row r="38" spans="2:6" ht="33" x14ac:dyDescent="0.25">
      <c r="B38" s="80" t="s">
        <v>114</v>
      </c>
      <c r="C38" s="80" t="s">
        <v>115</v>
      </c>
      <c r="D38" s="80">
        <v>2</v>
      </c>
      <c r="E38" s="80" t="s">
        <v>108</v>
      </c>
      <c r="F38" s="80"/>
    </row>
    <row r="39" spans="2:6" ht="33" x14ac:dyDescent="0.25">
      <c r="B39" s="80" t="s">
        <v>116</v>
      </c>
      <c r="C39" s="80" t="s">
        <v>117</v>
      </c>
      <c r="D39" s="80">
        <v>2</v>
      </c>
      <c r="E39" s="80" t="s">
        <v>111</v>
      </c>
      <c r="F39" s="80"/>
    </row>
    <row r="40" spans="2:6" ht="33" x14ac:dyDescent="0.25">
      <c r="B40" s="80" t="s">
        <v>118</v>
      </c>
      <c r="C40" s="80" t="s">
        <v>119</v>
      </c>
      <c r="D40" s="80">
        <v>5</v>
      </c>
      <c r="E40" s="80" t="s">
        <v>100</v>
      </c>
      <c r="F40" s="80"/>
    </row>
    <row r="41" spans="2:6" ht="49.5" x14ac:dyDescent="0.25">
      <c r="B41" s="80" t="s">
        <v>120</v>
      </c>
      <c r="C41" s="80" t="s">
        <v>121</v>
      </c>
      <c r="D41" s="80">
        <v>3</v>
      </c>
      <c r="E41" s="80" t="s">
        <v>122</v>
      </c>
      <c r="F41" s="80"/>
    </row>
    <row r="42" spans="2:6" ht="49.5" x14ac:dyDescent="0.25">
      <c r="B42" s="80" t="s">
        <v>123</v>
      </c>
      <c r="C42" s="80" t="s">
        <v>124</v>
      </c>
      <c r="D42" s="80">
        <v>2</v>
      </c>
      <c r="E42" s="80" t="s">
        <v>125</v>
      </c>
      <c r="F42" s="80"/>
    </row>
    <row r="43" spans="2:6" ht="33" x14ac:dyDescent="0.25">
      <c r="B43" s="80" t="s">
        <v>126</v>
      </c>
      <c r="C43" s="80" t="s">
        <v>127</v>
      </c>
      <c r="D43" s="80">
        <v>1</v>
      </c>
      <c r="E43" s="80" t="s">
        <v>123</v>
      </c>
      <c r="F43" s="80"/>
    </row>
    <row r="44" spans="2:6" x14ac:dyDescent="0.25">
      <c r="B44" s="81"/>
      <c r="C44" s="81"/>
      <c r="D44" s="81"/>
      <c r="E44" s="81"/>
      <c r="F44" s="8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383DD-6C6A-43F8-8C52-E357CE1F3CEB}">
  <dimension ref="B4:L41"/>
  <sheetViews>
    <sheetView topLeftCell="B10" workbookViewId="0">
      <selection activeCell="B19" sqref="B19:L28"/>
    </sheetView>
  </sheetViews>
  <sheetFormatPr defaultRowHeight="15" x14ac:dyDescent="0.25"/>
  <cols>
    <col min="2" max="2" width="17.375" customWidth="1"/>
    <col min="3" max="3" width="20.25" customWidth="1"/>
    <col min="4" max="4" width="21.375" customWidth="1"/>
    <col min="5" max="5" width="18.5" customWidth="1"/>
    <col min="6" max="6" width="15.125" customWidth="1"/>
    <col min="7" max="7" width="18.25" customWidth="1"/>
    <col min="8" max="8" width="12.5" customWidth="1"/>
    <col min="9" max="9" width="18" customWidth="1"/>
    <col min="10" max="10" width="18.25" customWidth="1"/>
    <col min="11" max="11" width="16.125" customWidth="1"/>
    <col min="12" max="12" width="21" customWidth="1"/>
  </cols>
  <sheetData>
    <row r="4" spans="2:12" x14ac:dyDescent="0.25">
      <c r="B4" t="s">
        <v>13</v>
      </c>
      <c r="C4" s="20" t="s">
        <v>14</v>
      </c>
      <c r="D4" s="20" t="s">
        <v>15</v>
      </c>
      <c r="E4" s="20" t="s">
        <v>16</v>
      </c>
      <c r="F4" s="20" t="s">
        <v>17</v>
      </c>
      <c r="G4" s="20" t="s">
        <v>18</v>
      </c>
      <c r="H4" s="20" t="s">
        <v>19</v>
      </c>
      <c r="I4" s="20" t="s">
        <v>20</v>
      </c>
      <c r="J4" s="20" t="s">
        <v>21</v>
      </c>
      <c r="K4" s="20" t="s">
        <v>22</v>
      </c>
      <c r="L4" s="20" t="s">
        <v>23</v>
      </c>
    </row>
    <row r="5" spans="2:12" ht="30" x14ac:dyDescent="0.25">
      <c r="B5" s="23"/>
      <c r="C5" s="20" t="s">
        <v>24</v>
      </c>
      <c r="D5" s="21" t="s">
        <v>25</v>
      </c>
      <c r="E5" s="21" t="s">
        <v>26</v>
      </c>
      <c r="F5" s="21" t="s">
        <v>27</v>
      </c>
      <c r="G5" s="21" t="s">
        <v>28</v>
      </c>
      <c r="H5" s="21" t="s">
        <v>29</v>
      </c>
      <c r="I5" s="21" t="s">
        <v>38</v>
      </c>
      <c r="J5" s="21" t="s">
        <v>39</v>
      </c>
      <c r="K5" s="22" t="s">
        <v>30</v>
      </c>
      <c r="L5" s="24" t="s">
        <v>10</v>
      </c>
    </row>
    <row r="6" spans="2:12" ht="120" x14ac:dyDescent="0.25">
      <c r="B6" s="23"/>
      <c r="C6" s="20"/>
      <c r="D6" s="21"/>
      <c r="E6" s="21"/>
      <c r="F6" s="21" t="s">
        <v>31</v>
      </c>
      <c r="G6" s="21" t="s">
        <v>32</v>
      </c>
      <c r="H6" s="21" t="s">
        <v>33</v>
      </c>
      <c r="I6" s="21" t="s">
        <v>34</v>
      </c>
      <c r="J6" s="21" t="s">
        <v>35</v>
      </c>
      <c r="K6" s="25" t="s">
        <v>36</v>
      </c>
      <c r="L6" s="26"/>
    </row>
    <row r="7" spans="2:12" ht="21" x14ac:dyDescent="0.25">
      <c r="B7" s="27" t="s">
        <v>37</v>
      </c>
      <c r="C7" s="28"/>
      <c r="D7" s="25"/>
      <c r="E7" s="25"/>
      <c r="F7" s="25"/>
      <c r="G7" s="25"/>
      <c r="H7" s="25"/>
      <c r="I7" s="25"/>
      <c r="J7" s="25"/>
      <c r="K7" s="25"/>
      <c r="L7" s="26"/>
    </row>
    <row r="8" spans="2:12" ht="21" x14ac:dyDescent="0.25">
      <c r="B8" s="29">
        <v>1</v>
      </c>
      <c r="C8" s="30" t="inlineStr">
        <is>
          <t xml:space="preserve">1.0 Анализ и ТЗ</t>
        </is>
      </c>
      <c r="D8" s="31" t="inlineStr">
        <is>
          <t xml:space="preserve">—</t>
        </is>
      </c>
      <c r="E8" s="31" t="inlineStr">
        <is>
          <t xml:space="preserve">2, 3, 4, 5</t>
        </is>
      </c>
      <c r="F8" s="31">
        <v>1</v>
      </c>
      <c r="G8" s="31">
        <v>1</v>
      </c>
      <c r="H8" s="46">
        <f>F8+G8</f>
        <v>2</v>
      </c>
      <c r="I8" s="46">
        <f>J8-G8</f>
        <v>1</v>
      </c>
      <c r="J8" s="31">
        <f>MIN(I9,I10,I11,I12)</f>
        <v>2</v>
      </c>
      <c r="K8" s="47">
        <f>I8-F8</f>
        <v>0</v>
      </c>
      <c r="L8" s="48" t="str">
        <f>IF(K8=0,"ДА","НЕТ")</f>
        <v>ДА</v>
      </c>
    </row>
    <row r="9" spans="2:12" ht="21" x14ac:dyDescent="0.25">
      <c r="B9" s="29">
        <v>2</v>
      </c>
      <c r="C9" s="30" t="inlineStr">
        <is>
          <t xml:space="preserve">2.0 Юр. документы</t>
        </is>
      </c>
      <c r="D9" s="31" t="inlineStr">
        <is>
          <t xml:space="preserve">1</t>
        </is>
      </c>
      <c r="E9" s="31" t="inlineStr">
        <is>
          <t xml:space="preserve">9</t>
        </is>
      </c>
      <c r="F9" s="31">
        <f>MAX(H8)</f>
        <v>2</v>
      </c>
      <c r="G9" s="31">
        <v>1</v>
      </c>
      <c r="H9" s="46">
        <f>F9+G9</f>
        <v>3</v>
      </c>
      <c r="I9" s="46">
        <f>J9-G9</f>
        <v>5</v>
      </c>
      <c r="J9" s="31">
        <f>MIN(I16)</f>
        <v>6</v>
      </c>
      <c r="K9" s="47">
        <f>I9-F9</f>
        <v>3</v>
      </c>
      <c r="L9" s="48" t="str">
        <f>IF(K9=0,"ДА","НЕТ")</f>
        <v>НЕТ</v>
      </c>
    </row>
    <row r="10" spans="2:12" ht="21" x14ac:dyDescent="0.25">
      <c r="B10" s="29">
        <v>3</v>
      </c>
      <c r="C10" s="30" t="inlineStr">
        <is>
          <t xml:space="preserve">3.0 Архитектура</t>
        </is>
      </c>
      <c r="D10" s="31" t="inlineStr">
        <is>
          <t xml:space="preserve">1</t>
        </is>
      </c>
      <c r="E10" s="31" t="inlineStr">
        <is>
          <t xml:space="preserve">6, 7, 8</t>
        </is>
      </c>
      <c r="F10" s="31">
        <f>MAX(H8)</f>
        <v>2</v>
      </c>
      <c r="G10" s="31">
        <v>1</v>
      </c>
      <c r="H10" s="46">
        <f>F10+G10</f>
        <v>3</v>
      </c>
      <c r="I10" s="46">
        <f>J10-G10</f>
        <v>2</v>
      </c>
      <c r="J10" s="31">
        <f>MIN(I13,I14,I15)</f>
        <v>3</v>
      </c>
      <c r="K10" s="47">
        <f>I10-F10</f>
        <v>0</v>
      </c>
      <c r="L10" s="48" t="str">
        <f>IF(K10=0,"ДА","НЕТ")</f>
        <v>ДА</v>
      </c>
    </row>
    <row r="11" spans="2:12" ht="21" x14ac:dyDescent="0.25">
      <c r="B11" s="29">
        <v>4</v>
      </c>
      <c r="C11" s="30" t="inlineStr">
        <is>
          <t xml:space="preserve">4.0 UX/UI-дизайн</t>
        </is>
      </c>
      <c r="D11" s="31" t="inlineStr">
        <is>
          <t xml:space="preserve">1</t>
        </is>
      </c>
      <c r="E11" s="31" t="inlineStr">
        <is>
          <t xml:space="preserve">8</t>
        </is>
      </c>
      <c r="F11" s="31">
        <f>MAX(H8)</f>
        <v>2</v>
      </c>
      <c r="G11" s="31">
        <v>1</v>
      </c>
      <c r="H11" s="46">
        <f>F11+G11</f>
        <v>3</v>
      </c>
      <c r="I11" s="46">
        <f>J11-G11</f>
        <v>3</v>
      </c>
      <c r="J11" s="31">
        <f>MIN(I15)</f>
        <v>4</v>
      </c>
      <c r="K11" s="47">
        <f>I11-F11</f>
        <v>1</v>
      </c>
      <c r="L11" s="48" t="str">
        <f>IF(K11=0,"ДА","НЕТ")</f>
        <v>НЕТ</v>
      </c>
    </row>
    <row r="12" spans="2:12" ht="21" x14ac:dyDescent="0.25">
      <c r="B12" s="29">
        <v>5</v>
      </c>
      <c r="C12" s="30" t="inlineStr">
        <is>
          <t xml:space="preserve">5.0 Eval-набор</t>
        </is>
      </c>
      <c r="D12" s="31" t="inlineStr">
        <is>
          <t xml:space="preserve">1</t>
        </is>
      </c>
      <c r="E12" s="31" t="inlineStr">
        <is>
          <t xml:space="preserve">9</t>
        </is>
      </c>
      <c r="F12" s="31">
        <f>MAX(H8)</f>
        <v>2</v>
      </c>
      <c r="G12" s="31">
        <v>2</v>
      </c>
      <c r="H12" s="46">
        <f>F12+G12</f>
        <v>4</v>
      </c>
      <c r="I12" s="46">
        <f>J12-G12</f>
        <v>4</v>
      </c>
      <c r="J12" s="31">
        <f>MIN(I16)</f>
        <v>6</v>
      </c>
      <c r="K12" s="47">
        <f>I12-F12</f>
        <v>2</v>
      </c>
      <c r="L12" s="48" t="str">
        <f>IF(K12=0,"ДА","НЕТ")</f>
        <v>НЕТ</v>
      </c>
    </row>
    <row r="13" spans="2:12" ht="21" x14ac:dyDescent="0.25">
      <c r="B13" s="29">
        <v>6</v>
      </c>
      <c r="C13" s="30" t="inlineStr">
        <is>
          <t xml:space="preserve">6.0 Ядро верификации</t>
        </is>
      </c>
      <c r="D13" s="31" t="inlineStr">
        <is>
          <t xml:space="preserve">3</t>
        </is>
      </c>
      <c r="E13" s="31" t="inlineStr">
        <is>
          <t xml:space="preserve">9</t>
        </is>
      </c>
      <c r="F13" s="31">
        <f>MAX(H10)</f>
        <v>3</v>
      </c>
      <c r="G13" s="31">
        <v>3</v>
      </c>
      <c r="H13" s="49">
        <f>F13+G13</f>
        <v>6</v>
      </c>
      <c r="I13" s="46">
        <f>J13-G13</f>
        <v>3</v>
      </c>
      <c r="J13" s="31">
        <f>MIN(I16)</f>
        <v>6</v>
      </c>
      <c r="K13" s="47">
        <f>I13-F13</f>
        <v>0</v>
      </c>
      <c r="L13" s="48" t="str">
        <f>IF(K13=0,"ДА","НЕТ")</f>
        <v>ДА</v>
      </c>
    </row>
    <row r="14" spans="2:12" ht="21" x14ac:dyDescent="0.25">
      <c r="B14" s="29">
        <v>7</v>
      </c>
      <c r="C14" s="30" t="inlineStr">
        <is>
          <t xml:space="preserve">7.0 Бэкенд</t>
        </is>
      </c>
      <c r="D14" s="31" t="inlineStr">
        <is>
          <t xml:space="preserve">3</t>
        </is>
      </c>
      <c r="E14" s="31" t="inlineStr">
        <is>
          <t xml:space="preserve">9</t>
        </is>
      </c>
      <c r="F14" s="31">
        <f>MAX(H10)</f>
        <v>3</v>
      </c>
      <c r="G14" s="31">
        <v>2</v>
      </c>
      <c r="H14" s="46">
        <f>F14+G14</f>
        <v>5</v>
      </c>
      <c r="I14" s="46">
        <f>J14-G14</f>
        <v>4</v>
      </c>
      <c r="J14" s="31">
        <f>MIN(I16)</f>
        <v>6</v>
      </c>
      <c r="K14" s="47">
        <f>I14-F14</f>
        <v>1</v>
      </c>
      <c r="L14" s="48" t="str">
        <f>IF(K14=0,"ДА","НЕТ")</f>
        <v>НЕТ</v>
      </c>
    </row>
    <row r="15" spans="2:12" ht="21" x14ac:dyDescent="0.25">
      <c r="B15" s="29">
        <v>8</v>
      </c>
      <c r="C15" s="30" t="inlineStr">
        <is>
          <t xml:space="preserve">8.0 Фронтенд</t>
        </is>
      </c>
      <c r="D15" s="31" t="inlineStr">
        <is>
          <t xml:space="preserve">3, 4</t>
        </is>
      </c>
      <c r="E15" s="31" t="inlineStr">
        <is>
          <t xml:space="preserve">9</t>
        </is>
      </c>
      <c r="F15" s="31">
        <f>MAX(H10,H11)</f>
        <v>3</v>
      </c>
      <c r="G15" s="31">
        <v>2</v>
      </c>
      <c r="H15" s="46">
        <f>F15+G15</f>
        <v>5</v>
      </c>
      <c r="I15" s="46">
        <f>J15-G15</f>
        <v>4</v>
      </c>
      <c r="J15" s="31">
        <f>MIN(I16)</f>
        <v>6</v>
      </c>
      <c r="K15" s="47">
        <f>I15-F15</f>
        <v>1</v>
      </c>
      <c r="L15" s="48" t="str">
        <f>IF(K15=0,"ДА","НЕТ")</f>
        <v>НЕТ</v>
      </c>
    </row>
    <row r="16" spans="2:12" ht="21" x14ac:dyDescent="0.25">
      <c r="B16" s="29">
        <v>9</v>
      </c>
      <c r="C16" s="30" t="inlineStr">
        <is>
          <t xml:space="preserve">9.0 Релиз MVP</t>
        </is>
      </c>
      <c r="D16" s="31" t="inlineStr">
        <is>
          <t xml:space="preserve">2, 5, 6, 7, 8</t>
        </is>
      </c>
      <c r="E16" s="31" t="inlineStr">
        <is>
          <t xml:space="preserve">10, 11, 12</t>
        </is>
      </c>
      <c r="F16" s="31">
        <f>MAX(H9,H12,H13,H14,H15)</f>
        <v>6</v>
      </c>
      <c r="G16" s="31">
        <v>1</v>
      </c>
      <c r="H16" s="46">
        <f>F16+G16</f>
        <v>7</v>
      </c>
      <c r="I16" s="46">
        <f>J16-G16</f>
        <v>6</v>
      </c>
      <c r="J16" s="31">
        <f>MIN(I17,I18,I19)</f>
        <v>7</v>
      </c>
      <c r="K16" s="47">
        <f>I16-F16</f>
        <v>0</v>
      </c>
      <c r="L16" s="48" t="str">
        <f>IF(K16=0,"ДА","НЕТ")</f>
        <v>ДА</v>
      </c>
    </row>
    <row r="17" spans="2:12" ht="21" x14ac:dyDescent="0.25">
      <c r="B17" s="33">
        <v>10</v>
      </c>
      <c r="C17" s="34" t="inlineStr">
        <is>
          <t xml:space="preserve">10.0 AI-слой</t>
        </is>
      </c>
      <c r="D17" s="35" t="inlineStr">
        <is>
          <t xml:space="preserve">9</t>
        </is>
      </c>
      <c r="E17" s="35" t="inlineStr">
        <is>
          <t xml:space="preserve">13</t>
        </is>
      </c>
      <c r="F17" s="35">
        <f>MAX(H16)</f>
        <v>7</v>
      </c>
      <c r="G17" s="35">
        <v>2</v>
      </c>
      <c r="H17" s="46">
        <f>F17+G17</f>
        <v>9</v>
      </c>
      <c r="I17" s="46">
        <f>J17-G17</f>
        <v>8</v>
      </c>
      <c r="J17" s="35">
        <f>MIN(I20)</f>
        <v>10</v>
      </c>
      <c r="K17" s="47">
        <f>I17-F17</f>
        <v>1</v>
      </c>
      <c r="L17" s="48" t="str">
        <f>IF(K17=0,"ДА","НЕТ")</f>
        <v>НЕТ</v>
      </c>
    </row>
    <row r="18" spans="2:12" ht="21" x14ac:dyDescent="0.25">
      <c r="B18" s="33">
        <v>11</v>
      </c>
      <c r="C18" s="34" t="inlineStr">
        <is>
          <t xml:space="preserve">11.0 Монетизация</t>
        </is>
      </c>
      <c r="D18" s="35" t="inlineStr">
        <is>
          <t xml:space="preserve">9</t>
        </is>
      </c>
      <c r="E18" s="35" t="inlineStr">
        <is>
          <t xml:space="preserve">13</t>
        </is>
      </c>
      <c r="F18" s="35">
        <f>MAX(H16)</f>
        <v>7</v>
      </c>
      <c r="G18" s="35">
        <v>1</v>
      </c>
      <c r="H18" s="46">
        <f>F18+G18</f>
        <v>8</v>
      </c>
      <c r="I18" s="46">
        <f>J18-G18</f>
        <v>9</v>
      </c>
      <c r="J18" s="35">
        <f>MIN(I20)</f>
        <v>10</v>
      </c>
      <c r="K18" s="47">
        <f>I18-F18</f>
        <v>2</v>
      </c>
      <c r="L18" s="48" t="str">
        <f>IF(K18=0,"ДА","НЕТ")</f>
        <v>НЕТ</v>
      </c>
    </row>
    <row r="19" spans="2:12" ht="21" x14ac:dyDescent="0.25">
      <c r="B19" s="33">
        <v>12</v>
      </c>
      <c r="C19" s="34" t="inlineStr">
        <is>
          <t xml:space="preserve">12.0 Надстройка Excel</t>
        </is>
      </c>
      <c r="D19" s="35" t="inlineStr">
        <is>
          <t xml:space="preserve">9</t>
        </is>
      </c>
      <c r="E19" s="35" t="inlineStr">
        <is>
          <t xml:space="preserve">13</t>
        </is>
      </c>
      <c r="F19" s="35">
        <f>MAX(H16)</f>
        <v>7</v>
      </c>
      <c r="G19" s="35">
        <v>3</v>
      </c>
      <c r="H19" s="46">
        <f>F19+G19</f>
        <v>10</v>
      </c>
      <c r="I19" s="46">
        <f>J19-G19</f>
        <v>7</v>
      </c>
      <c r="J19" s="35">
        <f>MIN(I20)</f>
        <v>10</v>
      </c>
      <c r="K19" s="47">
        <f>I19-F19</f>
        <v>0</v>
      </c>
      <c r="L19" s="48" t="str">
        <f>IF(K19=0,"ДА","НЕТ")</f>
        <v>ДА</v>
      </c>
    </row>
    <row r="20" spans="2:12" ht="21" x14ac:dyDescent="0.25">
      <c r="B20" s="33">
        <v>13</v>
      </c>
      <c r="C20" s="34" t="inlineStr">
        <is>
          <t xml:space="preserve">13.0 Бета v1</t>
        </is>
      </c>
      <c r="D20" s="35" t="inlineStr">
        <is>
          <t xml:space="preserve">10, 11, 12</t>
        </is>
      </c>
      <c r="E20" s="35" t="inlineStr">
        <is>
          <t xml:space="preserve">14</t>
        </is>
      </c>
      <c r="F20" s="35">
        <f>MAX(H17,H18,H19)</f>
        <v>10</v>
      </c>
      <c r="G20" s="35">
        <v>1</v>
      </c>
      <c r="H20" s="46">
        <f>F20+G20</f>
        <v>11</v>
      </c>
      <c r="I20" s="46">
        <f>J20-G20</f>
        <v>10</v>
      </c>
      <c r="J20" s="35">
        <f>MIN(I21)</f>
        <v>11</v>
      </c>
      <c r="K20" s="47">
        <f>I20-F20</f>
        <v>0</v>
      </c>
      <c r="L20" s="48" t="str">
        <f>IF(K20=0,"ДА","НЕТ")</f>
        <v>ДА</v>
      </c>
    </row>
    <row r="21" spans="2:12" ht="21" x14ac:dyDescent="0.25">
      <c r="B21" s="33">
        <v>14</v>
      </c>
      <c r="C21" s="34" t="inlineStr">
        <is>
          <t xml:space="preserve">14.0 Тестирование v1</t>
        </is>
      </c>
      <c r="D21" s="35" t="inlineStr">
        <is>
          <t xml:space="preserve">13</t>
        </is>
      </c>
      <c r="E21" s="35" t="inlineStr">
        <is>
          <t xml:space="preserve">15</t>
        </is>
      </c>
      <c r="F21" s="35">
        <f>MAX(H20)</f>
        <v>11</v>
      </c>
      <c r="G21" s="35">
        <v>1</v>
      </c>
      <c r="H21" s="46">
        <f>F21+G21</f>
        <v>12</v>
      </c>
      <c r="I21" s="46">
        <f>J21-G21</f>
        <v>11</v>
      </c>
      <c r="J21" s="35">
        <f>MIN(I22)</f>
        <v>12</v>
      </c>
      <c r="K21" s="47">
        <f>I21-F21</f>
        <v>0</v>
      </c>
      <c r="L21" s="48" t="str">
        <f>IF(K21=0,"ДА","НЕТ")</f>
        <v>ДА</v>
      </c>
    </row>
    <row r="22" spans="2:12" ht="21" x14ac:dyDescent="0.25">
      <c r="B22" s="33">
        <v>15</v>
      </c>
      <c r="C22" s="34" t="inlineStr">
        <is>
          <t xml:space="preserve">15.0 Запуск и закрытие</t>
        </is>
      </c>
      <c r="D22" s="35" t="inlineStr">
        <is>
          <t xml:space="preserve">14</t>
        </is>
      </c>
      <c r="E22" s="35" t="inlineStr">
        <is>
          <t xml:space="preserve">—</t>
        </is>
      </c>
      <c r="F22" s="35">
        <f>MAX(H21)</f>
        <v>12</v>
      </c>
      <c r="G22" s="35">
        <v>1</v>
      </c>
      <c r="H22" s="46">
        <f>F22+G22</f>
        <v>13</v>
      </c>
      <c r="I22" s="46">
        <f>J22-G22</f>
        <v>12</v>
      </c>
      <c r="J22" s="35">
        <f>MAX(H8:H22)</f>
        <v>13</v>
      </c>
      <c r="K22" s="47">
        <f>I22-F22</f>
        <v>0</v>
      </c>
      <c r="L22" s="48" t="str">
        <f>IF(K22=0,"ДА","НЕТ")</f>
        <v>ДА</v>
      </c>
    </row>
    <row r="23" spans="2:12" ht="21" x14ac:dyDescent="0.25">
      <c r="B23" s="33">
        <v>16</v>
      </c>
      <c r="C23" s="34"/>
      <c r="D23" s="35"/>
      <c r="E23" s="35"/>
      <c r="F23" s="35"/>
      <c r="G23" s="35"/>
      <c r="H23" s="46"/>
      <c r="I23" s="46"/>
      <c r="J23" s="35"/>
      <c r="K23" s="47"/>
      <c r="L23" s="48"/>
    </row>
    <row r="24" spans="2:12" ht="21" x14ac:dyDescent="0.25">
      <c r="B24" s="33">
        <v>17</v>
      </c>
      <c r="C24" s="34"/>
      <c r="D24" s="35"/>
      <c r="E24" s="35"/>
      <c r="F24" s="35"/>
      <c r="G24" s="35"/>
      <c r="H24" s="46"/>
      <c r="I24" s="46"/>
      <c r="J24" s="35"/>
      <c r="K24" s="47"/>
      <c r="L24" s="48"/>
    </row>
    <row r="25" spans="2:12" ht="21" x14ac:dyDescent="0.25">
      <c r="B25" s="33">
        <v>18</v>
      </c>
      <c r="C25" s="34"/>
      <c r="D25" s="35"/>
      <c r="E25" s="35"/>
      <c r="F25" s="35"/>
      <c r="G25" s="35"/>
      <c r="H25" s="46"/>
      <c r="I25" s="46"/>
      <c r="J25" s="35"/>
      <c r="K25" s="47"/>
      <c r="L25" s="48"/>
    </row>
    <row r="26" spans="2:12" ht="21" x14ac:dyDescent="0.25">
      <c r="B26" s="33">
        <v>19</v>
      </c>
      <c r="C26" s="34"/>
      <c r="D26" s="35"/>
      <c r="E26" s="35"/>
      <c r="F26" s="35"/>
      <c r="G26" s="35"/>
      <c r="H26" s="46"/>
      <c r="I26" s="46"/>
      <c r="J26" s="35"/>
      <c r="K26" s="47"/>
      <c r="L26" s="48"/>
    </row>
    <row r="27" spans="2:12" ht="21" x14ac:dyDescent="0.25">
      <c r="B27" s="33">
        <v>20</v>
      </c>
      <c r="C27" s="34"/>
      <c r="D27" s="35"/>
      <c r="E27" s="35"/>
      <c r="F27" s="35"/>
      <c r="G27" s="35"/>
      <c r="H27" s="46"/>
      <c r="I27" s="46"/>
      <c r="J27" s="35"/>
      <c r="K27" s="47"/>
      <c r="L27" s="48"/>
    </row>
    <row r="28" spans="2:12" ht="21" x14ac:dyDescent="0.25">
      <c r="B28" s="33">
        <v>21</v>
      </c>
      <c r="C28" s="34"/>
      <c r="D28" s="35"/>
      <c r="E28" s="35"/>
      <c r="F28" s="35"/>
      <c r="G28" s="35"/>
      <c r="H28" s="46"/>
      <c r="I28" s="46"/>
      <c r="J28" s="35"/>
      <c r="K28" s="47"/>
      <c r="L28" s="48"/>
    </row>
    <row r="32" spans="2:12" ht="15.75" thickBot="1" x14ac:dyDescent="0.3"/>
    <row r="30" spans="2:12">
      <c r="C30" t="inlineStr">
        <is>
          <t xml:space="preserve">Проект TableMind. Единица времени — 1 месяц; период 1 = октябрь 2026 (старт 01.10.2026). Ранний старт считается от 1, поэтому EF и LF — номер месяца, следующего за окончанием. Длительность проекта — 12 мес., критический путь: 1.0 → 3.0 → 6.0 → 9.0 → 12.0 → 13.0 → 14.0 → 15.0.</t>
        </is>
      </c>
    </row>
    <row r="31" spans="2:12">
      <c r="C31" t="inlineStr">
        <is>
          <t xml:space="preserve">D, E — номера предшествующих и последующих работ (№ = порядковый номер работы в WBS: 1 → 1.0, 2 → 2.0 …). Длительности получены по PERT (O+4M+P)/6 с округлением до целого месяца — см. отчёт ПЗ4.</t>
        </is>
      </c>
    </row>
    <row r="33" spans="3:6" ht="32.25" thickBot="1" x14ac:dyDescent="0.3">
      <c r="C33" s="83" t="s">
        <v>177</v>
      </c>
      <c r="D33" s="83" t="s">
        <v>178</v>
      </c>
      <c r="E33" s="83" t="s">
        <v>179</v>
      </c>
      <c r="F33" s="83" t="s">
        <v>180</v>
      </c>
    </row>
    <row r="34" spans="3:6" ht="32.25" thickBot="1" x14ac:dyDescent="0.3">
      <c r="C34" s="84" t="s">
        <v>181</v>
      </c>
      <c r="D34" s="84" t="s">
        <v>182</v>
      </c>
      <c r="E34" s="84" t="s">
        <v>183</v>
      </c>
      <c r="F34" s="84">
        <v>5</v>
      </c>
    </row>
    <row r="35" spans="3:6" ht="32.25" thickBot="1" x14ac:dyDescent="0.3">
      <c r="C35" s="84" t="s">
        <v>184</v>
      </c>
      <c r="D35" s="84" t="s">
        <v>185</v>
      </c>
      <c r="E35" s="84" t="s">
        <v>181</v>
      </c>
      <c r="F35" s="84">
        <v>15</v>
      </c>
    </row>
    <row r="36" spans="3:6" ht="16.5" thickBot="1" x14ac:dyDescent="0.3">
      <c r="C36" s="84" t="s">
        <v>186</v>
      </c>
      <c r="D36" s="84" t="s">
        <v>187</v>
      </c>
      <c r="E36" s="84" t="s">
        <v>181</v>
      </c>
      <c r="F36" s="84">
        <v>10</v>
      </c>
    </row>
    <row r="37" spans="3:6" ht="32.25" thickBot="1" x14ac:dyDescent="0.3">
      <c r="C37" s="84" t="s">
        <v>188</v>
      </c>
      <c r="D37" s="84" t="s">
        <v>189</v>
      </c>
      <c r="E37" s="84" t="s">
        <v>181</v>
      </c>
      <c r="F37" s="84">
        <v>5</v>
      </c>
    </row>
    <row r="38" spans="3:6" ht="16.5" thickBot="1" x14ac:dyDescent="0.3">
      <c r="C38" s="84" t="s">
        <v>190</v>
      </c>
      <c r="D38" s="84" t="s">
        <v>191</v>
      </c>
      <c r="E38" s="84" t="s">
        <v>192</v>
      </c>
      <c r="F38" s="84">
        <v>15</v>
      </c>
    </row>
    <row r="39" spans="3:6" ht="16.5" thickBot="1" x14ac:dyDescent="0.3">
      <c r="C39" s="84" t="s">
        <v>193</v>
      </c>
      <c r="D39" s="84" t="s">
        <v>194</v>
      </c>
      <c r="E39" s="84" t="s">
        <v>195</v>
      </c>
      <c r="F39" s="84">
        <v>10</v>
      </c>
    </row>
    <row r="40" spans="3:6" ht="16.5" thickBot="1" x14ac:dyDescent="0.3">
      <c r="C40" s="84" t="s">
        <v>196</v>
      </c>
      <c r="D40" s="84" t="s">
        <v>197</v>
      </c>
      <c r="E40" s="84" t="s">
        <v>193</v>
      </c>
      <c r="F40" s="84">
        <v>170</v>
      </c>
    </row>
    <row r="41" spans="3:6" ht="16.5" thickBot="1" x14ac:dyDescent="0.3">
      <c r="C41" s="84" t="s">
        <v>198</v>
      </c>
      <c r="D41" s="84" t="s">
        <v>199</v>
      </c>
      <c r="E41" s="84" t="s">
        <v>200</v>
      </c>
      <c r="F41" s="84">
        <v>35</v>
      </c>
    </row>
  </sheetData>
  <dataValidations count="4">
    <dataValidation allowBlank="1" showInputMessage="1" showErrorMessage="1" prompt="Введите действие в столбце B, начиная с ячейки B5_x000a_" sqref="C5:C7" xr:uid="{8EC7B034-786D-4244-9B68-78645A3441DA}"/>
    <dataValidation allowBlank="1" showInputMessage="1" showErrorMessage="1" prompt="Введите фактическое начало периода в столбце E, начиная с ячейки E5" sqref="F5:F7" xr:uid="{F8F2A693-0A7C-4C53-A3C5-E130CED29E58}"/>
    <dataValidation allowBlank="1" showInputMessage="1" showErrorMessage="1" prompt="Введите фактическую длительность периода в столбце F, начиная с ячейки F5" sqref="G5:J7 D5:E7" xr:uid="{EF500D41-3151-45FE-A07D-C3019F256C20}"/>
    <dataValidation allowBlank="1" showInputMessage="1" showErrorMessage="1" prompt="Введите процент выполнения проекта в столбце G, начиная с ячейки G5" sqref="K5:L7" xr:uid="{55FDD526-EBBC-4400-979A-1B1160C96F6C}"/>
  </dataValidation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A1:BQ30"/>
  <sheetViews>
    <sheetView showGridLines="0" tabSelected="1" zoomScaleNormal="100" zoomScaleSheetLayoutView="80" workbookViewId="0">
      <selection activeCell="H30" sqref="H30"/>
    </sheetView>
  </sheetViews>
  <sheetFormatPr defaultColWidth="2.75" defaultRowHeight="30" customHeight="1" x14ac:dyDescent="0.25"/>
  <cols>
    <col min="1" max="2" width="2.625" customWidth="1"/>
    <col min="3" max="6" width="19.25" customWidth="1"/>
    <col min="7" max="7" width="15.625" style="1" customWidth="1"/>
    <col min="8" max="8" width="13.5" style="1" customWidth="1"/>
    <col min="9" max="9" width="23.75" style="18" customWidth="1"/>
    <col min="10" max="29" width="3.875" style="1" customWidth="1"/>
    <col min="30" max="73" width="3.875" customWidth="1"/>
  </cols>
  <sheetData>
    <row r="1" spans="1:69" ht="60" customHeight="1" thickBot="1" x14ac:dyDescent="0.85">
      <c r="C1" s="8" t="inlineStr">
        <is>
          <t xml:space="preserve">Планировщик проекта TableMind</t>
        </is>
      </c>
      <c r="D1" s="8"/>
      <c r="E1" s="8"/>
      <c r="F1" s="8"/>
      <c r="G1" s="7"/>
      <c r="H1" s="7"/>
      <c r="I1" s="7"/>
    </row>
    <row r="2" spans="1:69" ht="21" customHeight="1" thickTop="1" thickBot="1" x14ac:dyDescent="0.3">
      <c r="C2" s="64" t="s">
        <v>1</v>
      </c>
      <c r="D2" s="64"/>
      <c r="E2" s="64"/>
      <c r="F2" s="64"/>
      <c r="G2" s="64"/>
      <c r="H2" s="64"/>
      <c r="I2" s="36" t="s">
        <v>3</v>
      </c>
      <c r="J2" s="9">
        <v>6</v>
      </c>
      <c r="L2" s="10"/>
      <c r="M2" s="71" t="s">
        <v>5</v>
      </c>
      <c r="N2" s="72"/>
      <c r="O2" s="72"/>
      <c r="P2" s="72"/>
      <c r="Q2" s="73"/>
      <c r="R2" s="11"/>
      <c r="S2" s="71" t="s">
        <v>6</v>
      </c>
      <c r="T2" s="74"/>
      <c r="U2" s="74"/>
      <c r="V2" s="73"/>
      <c r="W2" s="12"/>
      <c r="X2" s="62" t="s">
        <v>7</v>
      </c>
      <c r="Y2" s="63"/>
      <c r="Z2" s="63"/>
      <c r="AA2" s="75"/>
      <c r="AB2" s="13"/>
      <c r="AC2" s="76" t="s">
        <v>8</v>
      </c>
      <c r="AD2" s="77"/>
      <c r="AE2" s="77"/>
      <c r="AF2" s="77"/>
      <c r="AG2" s="77"/>
      <c r="AH2" s="77"/>
      <c r="AI2" s="78"/>
      <c r="AJ2" s="14"/>
      <c r="AK2" s="62" t="s">
        <v>9</v>
      </c>
      <c r="AL2" s="63"/>
      <c r="AM2" s="63"/>
      <c r="AN2" s="63"/>
      <c r="AO2" s="63"/>
      <c r="AP2" s="63"/>
      <c r="AQ2" s="63"/>
      <c r="AR2" s="63"/>
    </row>
    <row r="3" spans="1:69" s="6" customFormat="1" ht="39.950000000000003" customHeight="1" thickTop="1" x14ac:dyDescent="0.25">
      <c r="A3" s="39"/>
      <c r="B3" s="40" t="s">
        <v>37</v>
      </c>
      <c r="C3" s="65" t="s">
        <v>2</v>
      </c>
      <c r="D3" s="37" t="str">
        <f>'ТАБЛИЦА ДАННЫХ'!D5</f>
        <v>ПРЕДШЕСТВУЮЩИЕ РАБОТЫ</v>
      </c>
      <c r="E3" s="37" t="str">
        <f>'ТАБЛИЦА ДАННЫХ'!E5</f>
        <v>ПОСЛЕДУЮЩИЕ РАБОТЫ</v>
      </c>
      <c r="F3" s="38" t="s">
        <v>40</v>
      </c>
      <c r="G3" s="67" t="s">
        <v>11</v>
      </c>
      <c r="H3" s="67" t="s">
        <v>12</v>
      </c>
      <c r="I3" s="69" t="s">
        <v>10</v>
      </c>
      <c r="J3" s="15" t="s">
        <v>4</v>
      </c>
      <c r="K3" s="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69" ht="15.75" customHeight="1" x14ac:dyDescent="0.25">
      <c r="A4" s="41"/>
      <c r="B4" s="42"/>
      <c r="C4" s="66"/>
      <c r="D4" s="43"/>
      <c r="E4" s="43"/>
      <c r="F4" s="43"/>
      <c r="G4" s="68"/>
      <c r="H4" s="68"/>
      <c r="I4" s="70"/>
      <c r="J4" s="2">
        <v>1</v>
      </c>
      <c r="K4" s="2">
        <v>2</v>
      </c>
      <c r="L4" s="2">
        <v>3</v>
      </c>
      <c r="M4" s="2">
        <v>4</v>
      </c>
      <c r="N4" s="2">
        <v>5</v>
      </c>
      <c r="O4" s="2">
        <v>6</v>
      </c>
      <c r="P4" s="2">
        <v>7</v>
      </c>
      <c r="Q4" s="2">
        <v>8</v>
      </c>
      <c r="R4" s="2">
        <v>9</v>
      </c>
      <c r="S4" s="2">
        <v>10</v>
      </c>
      <c r="T4" s="2">
        <v>11</v>
      </c>
      <c r="U4" s="2">
        <v>12</v>
      </c>
      <c r="V4" s="2">
        <v>13</v>
      </c>
      <c r="W4" s="2">
        <v>14</v>
      </c>
      <c r="X4" s="2">
        <v>15</v>
      </c>
      <c r="Y4" s="2">
        <v>16</v>
      </c>
      <c r="Z4" s="2">
        <v>17</v>
      </c>
      <c r="AA4" s="2">
        <v>18</v>
      </c>
      <c r="AB4" s="2">
        <v>19</v>
      </c>
      <c r="AC4" s="2">
        <v>20</v>
      </c>
      <c r="AD4" s="2">
        <v>21</v>
      </c>
      <c r="AE4" s="2">
        <v>22</v>
      </c>
      <c r="AF4" s="2">
        <v>23</v>
      </c>
      <c r="AG4" s="2">
        <v>24</v>
      </c>
      <c r="AH4" s="2">
        <v>25</v>
      </c>
      <c r="AI4" s="2">
        <v>26</v>
      </c>
      <c r="AJ4" s="2">
        <v>27</v>
      </c>
      <c r="AK4" s="2">
        <v>28</v>
      </c>
      <c r="AL4" s="2">
        <v>29</v>
      </c>
      <c r="AM4" s="2">
        <v>30</v>
      </c>
      <c r="AN4" s="2">
        <v>31</v>
      </c>
      <c r="AO4" s="2">
        <v>32</v>
      </c>
      <c r="AP4" s="2">
        <v>33</v>
      </c>
      <c r="AQ4" s="2">
        <v>34</v>
      </c>
      <c r="AR4" s="2">
        <v>35</v>
      </c>
      <c r="AS4" s="2">
        <v>36</v>
      </c>
      <c r="AT4" s="2">
        <v>37</v>
      </c>
      <c r="AU4" s="2">
        <v>38</v>
      </c>
      <c r="AV4" s="2">
        <v>39</v>
      </c>
      <c r="AW4" s="2">
        <v>40</v>
      </c>
      <c r="AX4" s="2">
        <v>41</v>
      </c>
      <c r="AY4" s="2">
        <v>42</v>
      </c>
      <c r="AZ4" s="2">
        <v>43</v>
      </c>
      <c r="BA4" s="2">
        <v>44</v>
      </c>
      <c r="BB4" s="2">
        <v>45</v>
      </c>
      <c r="BC4" s="2">
        <v>46</v>
      </c>
      <c r="BD4" s="2">
        <v>47</v>
      </c>
      <c r="BE4" s="2">
        <v>48</v>
      </c>
      <c r="BF4" s="2">
        <v>49</v>
      </c>
      <c r="BG4" s="2">
        <v>50</v>
      </c>
      <c r="BH4" s="2">
        <v>51</v>
      </c>
      <c r="BI4" s="2">
        <v>52</v>
      </c>
      <c r="BJ4" s="2">
        <v>53</v>
      </c>
      <c r="BK4" s="2">
        <v>54</v>
      </c>
      <c r="BL4" s="2">
        <v>55</v>
      </c>
      <c r="BM4" s="2">
        <v>56</v>
      </c>
      <c r="BN4" s="2">
        <v>57</v>
      </c>
      <c r="BO4" s="2">
        <v>58</v>
      </c>
      <c r="BP4" s="2">
        <v>59</v>
      </c>
      <c r="BQ4" s="2">
        <v>60</v>
      </c>
    </row>
    <row r="5" spans="1:69" ht="30" customHeight="1" x14ac:dyDescent="0.25">
      <c r="A5" s="44"/>
      <c r="B5" s="44">
        <v>1</v>
      </c>
      <c r="C5" s="30" t="str">
        <f>'ТАБЛИЦА ДАННЫХ'!C8</f>
        <v>1.0 Анализ и ТЗ</v>
      </c>
      <c r="D5" s="30" t="str">
        <f>'ТАБЛИЦА ДАННЫХ'!D8</f>
        <v>—</v>
      </c>
      <c r="E5" s="30" t="str">
        <f>'ТАБЛИЦА ДАННЫХ'!E8</f>
        <v>2, 3, 4, 5</v>
      </c>
      <c r="F5" s="45">
        <f>'ТАБЛИЦА ДАННЫХ'!K8</f>
        <v>0</v>
      </c>
      <c r="G5" s="31">
        <f>'ТАБЛИЦА ДАННЫХ'!F8</f>
        <v>1</v>
      </c>
      <c r="H5" s="31">
        <f>'ТАБЛИЦА ДАННЫХ'!G8</f>
        <v>1</v>
      </c>
      <c r="I5" s="32">
        <f>IF('ТАБЛИЦА ДАННЫХ'!L8="ДА",100%,0)</f>
        <v>1</v>
      </c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</row>
    <row r="6" spans="1:69" ht="30" customHeight="1" x14ac:dyDescent="0.25">
      <c r="A6" s="44"/>
      <c r="B6" s="44">
        <v>2</v>
      </c>
      <c r="C6" s="30" t="str">
        <f>'ТАБЛИЦА ДАННЫХ'!C9</f>
        <v>2.0 Юр. документы</v>
      </c>
      <c r="D6" s="30" t="str">
        <f>'ТАБЛИЦА ДАННЫХ'!D9</f>
        <v>1</v>
      </c>
      <c r="E6" s="30" t="str">
        <f>'ТАБЛИЦА ДАННЫХ'!E9</f>
        <v>9</v>
      </c>
      <c r="F6" s="45">
        <f>'ТАБЛИЦА ДАННЫХ'!K9</f>
        <v>3</v>
      </c>
      <c r="G6" s="31">
        <f>'ТАБЛИЦА ДАННЫХ'!F9</f>
        <v>2</v>
      </c>
      <c r="H6" s="31">
        <f>'ТАБЛИЦА ДАННЫХ'!G9</f>
        <v>1</v>
      </c>
      <c r="I6" s="32">
        <f>IF('ТАБЛИЦА ДАННЫХ'!L9="ДА",100%,0)</f>
        <v>0</v>
      </c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</row>
    <row r="7" spans="1:69" ht="30" customHeight="1" x14ac:dyDescent="0.25">
      <c r="A7" s="44"/>
      <c r="B7" s="44">
        <v>3</v>
      </c>
      <c r="C7" s="30" t="str">
        <f>'ТАБЛИЦА ДАННЫХ'!C10</f>
        <v>3.0 Архитектура</v>
      </c>
      <c r="D7" s="30" t="str">
        <f>'ТАБЛИЦА ДАННЫХ'!D10</f>
        <v>1</v>
      </c>
      <c r="E7" s="30" t="str">
        <f>'ТАБЛИЦА ДАННЫХ'!E10</f>
        <v>6, 7, 8</v>
      </c>
      <c r="F7" s="45">
        <f>'ТАБЛИЦА ДАННЫХ'!K10</f>
        <v>0</v>
      </c>
      <c r="G7" s="31">
        <f>'ТАБЛИЦА ДАННЫХ'!F10</f>
        <v>2</v>
      </c>
      <c r="H7" s="31">
        <f>'ТАБЛИЦА ДАННЫХ'!G10</f>
        <v>1</v>
      </c>
      <c r="I7" s="32">
        <f>IF('ТАБЛИЦА ДАННЫХ'!L10="ДА",100%,0)</f>
        <v>1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</row>
    <row r="8" spans="1:69" ht="30" customHeight="1" x14ac:dyDescent="0.25">
      <c r="A8" s="44"/>
      <c r="B8" s="44">
        <v>4</v>
      </c>
      <c r="C8" s="30" t="str">
        <f>'ТАБЛИЦА ДАННЫХ'!C11</f>
        <v>4.0 UX/UI-дизайн</v>
      </c>
      <c r="D8" s="30" t="str">
        <f>'ТАБЛИЦА ДАННЫХ'!D11</f>
        <v>1</v>
      </c>
      <c r="E8" s="30" t="str">
        <f>'ТАБЛИЦА ДАННЫХ'!E11</f>
        <v>8</v>
      </c>
      <c r="F8" s="45">
        <f>'ТАБЛИЦА ДАННЫХ'!K11</f>
        <v>1</v>
      </c>
      <c r="G8" s="31">
        <f>'ТАБЛИЦА ДАННЫХ'!F11</f>
        <v>2</v>
      </c>
      <c r="H8" s="31">
        <f>'ТАБЛИЦА ДАННЫХ'!G11</f>
        <v>1</v>
      </c>
      <c r="I8" s="32">
        <f>IF('ТАБЛИЦА ДАННЫХ'!L11="ДА",100%,0)</f>
        <v>0</v>
      </c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</row>
    <row r="9" spans="1:69" ht="30" customHeight="1" x14ac:dyDescent="0.25">
      <c r="A9" s="44"/>
      <c r="B9" s="44">
        <v>5</v>
      </c>
      <c r="C9" s="30" t="str">
        <f>'ТАБЛИЦА ДАННЫХ'!C12</f>
        <v>5.0 Eval-набор</v>
      </c>
      <c r="D9" s="30" t="str">
        <f>'ТАБЛИЦА ДАННЫХ'!D12</f>
        <v>1</v>
      </c>
      <c r="E9" s="30" t="str">
        <f>'ТАБЛИЦА ДАННЫХ'!E12</f>
        <v>9</v>
      </c>
      <c r="F9" s="45">
        <f>'ТАБЛИЦА ДАННЫХ'!K12</f>
        <v>2</v>
      </c>
      <c r="G9" s="31">
        <f>'ТАБЛИЦА ДАННЫХ'!F12</f>
        <v>2</v>
      </c>
      <c r="H9" s="31">
        <f>'ТАБЛИЦА ДАННЫХ'!G12</f>
        <v>2</v>
      </c>
      <c r="I9" s="32">
        <f>IF('ТАБЛИЦА ДАННЫХ'!L12="ДА",100%,0)</f>
        <v>0</v>
      </c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</row>
    <row r="10" spans="1:69" ht="30" customHeight="1" x14ac:dyDescent="0.25">
      <c r="A10" s="44"/>
      <c r="B10" s="44">
        <v>6</v>
      </c>
      <c r="C10" s="30" t="str">
        <f>'ТАБЛИЦА ДАННЫХ'!C13</f>
        <v>6.0 Ядро верификации</v>
      </c>
      <c r="D10" s="30" t="str">
        <f>'ТАБЛИЦА ДАННЫХ'!D13</f>
        <v>3</v>
      </c>
      <c r="E10" s="30" t="str">
        <f>'ТАБЛИЦА ДАННЫХ'!E13</f>
        <v>9</v>
      </c>
      <c r="F10" s="45">
        <f>'ТАБЛИЦА ДАННЫХ'!K13</f>
        <v>0</v>
      </c>
      <c r="G10" s="31">
        <f>'ТАБЛИЦА ДАННЫХ'!F13</f>
        <v>3</v>
      </c>
      <c r="H10" s="31">
        <f>'ТАБЛИЦА ДАННЫХ'!G13</f>
        <v>3</v>
      </c>
      <c r="I10" s="32">
        <f>IF('ТАБЛИЦА ДАННЫХ'!L13="ДА",100%,0)</f>
        <v>1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</row>
    <row r="11" spans="1:69" ht="30" customHeight="1" x14ac:dyDescent="0.25">
      <c r="A11" s="44"/>
      <c r="B11" s="44">
        <v>7</v>
      </c>
      <c r="C11" s="30" t="str">
        <f>'ТАБЛИЦА ДАННЫХ'!C14</f>
        <v>7.0 Бэкенд</v>
      </c>
      <c r="D11" s="30" t="str">
        <f>'ТАБЛИЦА ДАННЫХ'!D14</f>
        <v>3</v>
      </c>
      <c r="E11" s="30" t="str">
        <f>'ТАБЛИЦА ДАННЫХ'!E14</f>
        <v>9</v>
      </c>
      <c r="F11" s="45">
        <f>'ТАБЛИЦА ДАННЫХ'!K14</f>
        <v>1</v>
      </c>
      <c r="G11" s="31">
        <f>'ТАБЛИЦА ДАННЫХ'!F14</f>
        <v>3</v>
      </c>
      <c r="H11" s="31">
        <f>'ТАБЛИЦА ДАННЫХ'!G14</f>
        <v>2</v>
      </c>
      <c r="I11" s="32">
        <f>IF('ТАБЛИЦА ДАННЫХ'!L14="ДА",100%,0)</f>
        <v>0</v>
      </c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</row>
    <row r="12" spans="1:69" ht="30" customHeight="1" x14ac:dyDescent="0.25">
      <c r="A12" s="44"/>
      <c r="B12" s="44">
        <v>8</v>
      </c>
      <c r="C12" s="30" t="str">
        <f>'ТАБЛИЦА ДАННЫХ'!C15</f>
        <v>8.0 Фронтенд</v>
      </c>
      <c r="D12" s="30" t="str">
        <f>'ТАБЛИЦА ДАННЫХ'!D15</f>
        <v>3, 4</v>
      </c>
      <c r="E12" s="30" t="str">
        <f>'ТАБЛИЦА ДАННЫХ'!E15</f>
        <v>9</v>
      </c>
      <c r="F12" s="45">
        <f>'ТАБЛИЦА ДАННЫХ'!K15</f>
        <v>1</v>
      </c>
      <c r="G12" s="31">
        <f>'ТАБЛИЦА ДАННЫХ'!F15</f>
        <v>3</v>
      </c>
      <c r="H12" s="31">
        <f>'ТАБЛИЦА ДАННЫХ'!G15</f>
        <v>2</v>
      </c>
      <c r="I12" s="32">
        <f>IF('ТАБЛИЦА ДАННЫХ'!L15="ДА",100%,0)</f>
        <v>0</v>
      </c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</row>
    <row r="13" spans="1:69" ht="30" customHeight="1" x14ac:dyDescent="0.25">
      <c r="A13" s="44"/>
      <c r="B13" s="44">
        <v>9</v>
      </c>
      <c r="C13" s="30" t="str">
        <f>'ТАБЛИЦА ДАННЫХ'!C16</f>
        <v>9.0 Релиз MVP</v>
      </c>
      <c r="D13" s="30" t="str">
        <f>'ТАБЛИЦА ДАННЫХ'!D16</f>
        <v>2, 5, 6, 7, 8</v>
      </c>
      <c r="E13" s="30" t="str">
        <f>'ТАБЛИЦА ДАННЫХ'!E16</f>
        <v>10, 11, 12</v>
      </c>
      <c r="F13" s="45">
        <f>'ТАБЛИЦА ДАННЫХ'!K16</f>
        <v>0</v>
      </c>
      <c r="G13" s="31">
        <f>'ТАБЛИЦА ДАННЫХ'!F16</f>
        <v>6</v>
      </c>
      <c r="H13" s="31">
        <f>'ТАБЛИЦА ДАННЫХ'!G16</f>
        <v>1</v>
      </c>
      <c r="I13" s="32">
        <f>IF('ТАБЛИЦА ДАННЫХ'!L16="ДА",100%,0)</f>
        <v>1</v>
      </c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</row>
    <row r="14" spans="1:69" ht="30" customHeight="1" x14ac:dyDescent="0.25">
      <c r="A14" s="44"/>
      <c r="B14" s="44">
        <v>10</v>
      </c>
      <c r="C14" s="30" t="str">
        <f>'ТАБЛИЦА ДАННЫХ'!C17</f>
        <v>10.0 AI-слой</v>
      </c>
      <c r="D14" s="30" t="str">
        <f>'ТАБЛИЦА ДАННЫХ'!D17</f>
        <v>9</v>
      </c>
      <c r="E14" s="30" t="str">
        <f>'ТАБЛИЦА ДАННЫХ'!E17</f>
        <v>13</v>
      </c>
      <c r="F14" s="45">
        <f>'ТАБЛИЦА ДАННЫХ'!K17</f>
        <v>1</v>
      </c>
      <c r="G14" s="31">
        <f>'ТАБЛИЦА ДАННЫХ'!F17</f>
        <v>7</v>
      </c>
      <c r="H14" s="31">
        <f>'ТАБЛИЦА ДАННЫХ'!G17</f>
        <v>2</v>
      </c>
      <c r="I14" s="32">
        <f>IF('ТАБЛИЦА ДАННЫХ'!L17="ДА",100%,0)</f>
        <v>0</v>
      </c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</row>
    <row r="15" spans="1:69" ht="30" customHeight="1" x14ac:dyDescent="0.25">
      <c r="B15" s="44">
        <v>11</v>
      </c>
      <c r="C15" s="30" t="str">
        <f>'ТАБЛИЦА ДАННЫХ'!C18</f>
        <v>11.0 Монетизация</v>
      </c>
      <c r="D15" s="30" t="str">
        <f>'ТАБЛИЦА ДАННЫХ'!D18</f>
        <v>9</v>
      </c>
      <c r="E15" s="30" t="str">
        <f>'ТАБЛИЦА ДАННЫХ'!E18</f>
        <v>13</v>
      </c>
      <c r="F15" s="45">
        <f>'ТАБЛИЦА ДАННЫХ'!K18</f>
        <v>2</v>
      </c>
      <c r="G15" s="31">
        <f>'ТАБЛИЦА ДАННЫХ'!F18</f>
        <v>7</v>
      </c>
      <c r="H15" s="31">
        <f>'ТАБЛИЦА ДАННЫХ'!G18</f>
        <v>1</v>
      </c>
      <c r="I15" s="32">
        <f>IF('ТАБЛИЦА ДАННЫХ'!L18="ДА",100%,0)</f>
        <v>0</v>
      </c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</row>
    <row r="16" spans="1:69" ht="30" customHeight="1" x14ac:dyDescent="0.25">
      <c r="B16" s="44">
        <v>12</v>
      </c>
      <c r="C16" s="30" t="str">
        <f>'ТАБЛИЦА ДАННЫХ'!C19</f>
        <v>12.0 Надстройка Excel</v>
      </c>
      <c r="D16" s="30" t="str">
        <f>'ТАБЛИЦА ДАННЫХ'!D19</f>
        <v>9</v>
      </c>
      <c r="E16" s="30" t="str">
        <f>'ТАБЛИЦА ДАННЫХ'!E19</f>
        <v>13</v>
      </c>
      <c r="F16" s="45">
        <f>'ТАБЛИЦА ДАННЫХ'!K19</f>
        <v>0</v>
      </c>
      <c r="G16" s="31">
        <f>'ТАБЛИЦА ДАННЫХ'!F19</f>
        <v>7</v>
      </c>
      <c r="H16" s="31">
        <f>'ТАБЛИЦА ДАННЫХ'!G19</f>
        <v>3</v>
      </c>
      <c r="I16" s="32">
        <f>IF('ТАБЛИЦА ДАННЫХ'!L19="ДА",100%,0)</f>
        <v>1</v>
      </c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</row>
    <row r="17" spans="2:69" ht="30" customHeight="1" x14ac:dyDescent="0.25">
      <c r="B17" s="44">
        <v>13</v>
      </c>
      <c r="C17" s="30" t="str">
        <f>'ТАБЛИЦА ДАННЫХ'!C20</f>
        <v>13.0 Бета v1</v>
      </c>
      <c r="D17" s="30" t="str">
        <f>'ТАБЛИЦА ДАННЫХ'!D20</f>
        <v>10, 11, 12</v>
      </c>
      <c r="E17" s="30" t="str">
        <f>'ТАБЛИЦА ДАННЫХ'!E20</f>
        <v>14</v>
      </c>
      <c r="F17" s="45">
        <f>'ТАБЛИЦА ДАННЫХ'!K20</f>
        <v>0</v>
      </c>
      <c r="G17" s="31">
        <f>'ТАБЛИЦА ДАННЫХ'!F20</f>
        <v>10</v>
      </c>
      <c r="H17" s="31">
        <f>'ТАБЛИЦА ДАННЫХ'!G20</f>
        <v>1</v>
      </c>
      <c r="I17" s="32">
        <f>IF('ТАБЛИЦА ДАННЫХ'!L20="ДА",100%,0)</f>
        <v>1</v>
      </c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</row>
    <row r="18" spans="2:69" ht="30" customHeight="1" x14ac:dyDescent="0.25">
      <c r="B18" s="44">
        <v>14</v>
      </c>
      <c r="C18" s="30" t="str">
        <f>'ТАБЛИЦА ДАННЫХ'!C21</f>
        <v>14.0 Тестирование v1</v>
      </c>
      <c r="D18" s="30" t="str">
        <f>'ТАБЛИЦА ДАННЫХ'!D21</f>
        <v>13</v>
      </c>
      <c r="E18" s="30" t="str">
        <f>'ТАБЛИЦА ДАННЫХ'!E21</f>
        <v>15</v>
      </c>
      <c r="F18" s="45">
        <f>'ТАБЛИЦА ДАННЫХ'!K21</f>
        <v>0</v>
      </c>
      <c r="G18" s="31">
        <f>'ТАБЛИЦА ДАННЫХ'!F21</f>
        <v>11</v>
      </c>
      <c r="H18" s="31">
        <f>'ТАБЛИЦА ДАННЫХ'!G21</f>
        <v>1</v>
      </c>
      <c r="I18" s="32">
        <f>IF('ТАБЛИЦА ДАННЫХ'!L21="ДА",100%,0)</f>
        <v>1</v>
      </c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</row>
    <row r="19" spans="2:69" ht="30" customHeight="1" x14ac:dyDescent="0.25">
      <c r="B19" s="44">
        <v>15</v>
      </c>
      <c r="C19" s="30" t="str">
        <f>'ТАБЛИЦА ДАННЫХ'!C22</f>
        <v>15.0 Запуск и закрытие</v>
      </c>
      <c r="D19" s="30" t="str">
        <f>'ТАБЛИЦА ДАННЫХ'!D22</f>
        <v>14</v>
      </c>
      <c r="E19" s="30" t="str">
        <f>'ТАБЛИЦА ДАННЫХ'!E22</f>
        <v>—</v>
      </c>
      <c r="F19" s="45">
        <f>'ТАБЛИЦА ДАННЫХ'!K22</f>
        <v>0</v>
      </c>
      <c r="G19" s="31">
        <f>'ТАБЛИЦА ДАННЫХ'!F22</f>
        <v>12</v>
      </c>
      <c r="H19" s="31">
        <f>'ТАБЛИЦА ДАННЫХ'!G22</f>
        <v>1</v>
      </c>
      <c r="I19" s="32">
        <f>IF('ТАБЛИЦА ДАННЫХ'!L22="ДА",100%,0)</f>
        <v>1</v>
      </c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</row>
    <row r="20" spans="2:69" ht="30" customHeight="1" x14ac:dyDescent="0.25">
      <c r="B20" s="44"/>
      <c r="C20" s="30"/>
      <c r="D20" s="30"/>
      <c r="E20" s="30"/>
      <c r="F20" s="45"/>
      <c r="G20" s="31"/>
      <c r="H20" s="31"/>
      <c r="I20" s="32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</row>
    <row r="21" spans="2:69" ht="30" customHeight="1" x14ac:dyDescent="0.25">
      <c r="B21" s="44"/>
      <c r="C21" s="30"/>
      <c r="D21" s="30"/>
      <c r="E21" s="30"/>
      <c r="F21" s="45"/>
      <c r="G21" s="31"/>
      <c r="H21" s="31"/>
      <c r="I21" s="32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</row>
    <row r="22" spans="2:69" ht="30" customHeight="1" x14ac:dyDescent="0.25">
      <c r="B22" s="44"/>
      <c r="C22" s="30"/>
      <c r="D22" s="30"/>
      <c r="E22" s="30"/>
      <c r="F22" s="45"/>
      <c r="G22" s="31"/>
      <c r="H22" s="31"/>
      <c r="I22" s="32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</row>
    <row r="23" spans="2:69" ht="30" customHeight="1" x14ac:dyDescent="0.25">
      <c r="B23" s="44"/>
      <c r="C23" s="30"/>
      <c r="D23" s="30"/>
      <c r="E23" s="30"/>
      <c r="F23" s="45"/>
      <c r="G23" s="31"/>
      <c r="H23" s="31"/>
      <c r="I23" s="32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</row>
    <row r="24" spans="2:69" ht="30" customHeight="1" x14ac:dyDescent="0.25">
      <c r="B24" s="44"/>
      <c r="C24" s="30"/>
      <c r="D24" s="30"/>
      <c r="E24" s="30"/>
      <c r="F24" s="45"/>
      <c r="G24" s="31"/>
      <c r="H24" s="31"/>
      <c r="I24" s="32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</row>
    <row r="25" spans="2:69" ht="30" customHeight="1" x14ac:dyDescent="0.25">
      <c r="B25" s="44"/>
      <c r="C25" s="30"/>
      <c r="D25" s="30"/>
      <c r="E25" s="30"/>
      <c r="F25" s="45"/>
      <c r="G25" s="31"/>
      <c r="H25" s="31"/>
      <c r="I25" s="32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</row>
    <row r="26" spans="2:69" ht="30" customHeight="1" x14ac:dyDescent="0.25">
      <c r="B26" s="44"/>
      <c r="C26" s="30"/>
      <c r="D26" s="30"/>
      <c r="E26" s="30"/>
      <c r="F26" s="45"/>
      <c r="G26" s="31"/>
      <c r="H26" s="31"/>
      <c r="I26" s="32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</row>
    <row r="27" spans="2:69" ht="30" customHeight="1" x14ac:dyDescent="0.25">
      <c r="B27" s="44"/>
      <c r="C27" s="30"/>
      <c r="D27" s="30"/>
      <c r="E27" s="30"/>
      <c r="F27" s="45"/>
      <c r="G27" s="31"/>
      <c r="H27" s="31"/>
      <c r="I27" s="32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</row>
    <row r="28" spans="2:69" ht="30" customHeight="1" x14ac:dyDescent="0.25">
      <c r="B28" s="44"/>
      <c r="C28" s="30"/>
      <c r="D28" s="30"/>
      <c r="E28" s="30"/>
      <c r="F28" s="45"/>
      <c r="G28" s="31"/>
      <c r="H28" s="31"/>
      <c r="I28" s="32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</row>
    <row r="29" spans="2:69" ht="30" customHeight="1" x14ac:dyDescent="0.25">
      <c r="B29" s="44"/>
      <c r="C29" s="30"/>
      <c r="D29" s="30"/>
      <c r="E29" s="30"/>
      <c r="F29" s="45"/>
      <c r="G29" s="31"/>
      <c r="H29" s="31"/>
      <c r="I29" s="32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</row>
    <row r="30" spans="2:69" ht="30" customHeight="1" x14ac:dyDescent="0.25">
      <c r="C30" s="16"/>
      <c r="D30" s="16"/>
      <c r="E30" s="16"/>
      <c r="F30" s="16"/>
      <c r="G30" s="17"/>
      <c r="H30" s="17"/>
      <c r="I30" s="3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</row>
  </sheetData>
  <mergeCells count="10">
    <mergeCell ref="AK2:AR2"/>
    <mergeCell ref="C2:H2"/>
    <mergeCell ref="C3:C4"/>
    <mergeCell ref="G3:G4"/>
    <mergeCell ref="H3:H4"/>
    <mergeCell ref="I3:I4"/>
    <mergeCell ref="M2:Q2"/>
    <mergeCell ref="S2:V2"/>
    <mergeCell ref="X2:AA2"/>
    <mergeCell ref="AC2:AI2"/>
  </mergeCells>
  <conditionalFormatting sqref="J5:BQ30">
    <cfRule type="expression" dxfId="9" priority="1">
      <formula>ПроцентВыполнения</formula>
    </cfRule>
    <cfRule type="expression" dxfId="8" priority="3">
      <formula>ПроцентВыполненияВнеплан</formula>
    </cfRule>
    <cfRule type="expression" dxfId="7" priority="4">
      <formula>ФактическиеЗначения</formula>
    </cfRule>
    <cfRule type="expression" dxfId="6" priority="5">
      <formula>ФактВнеплан</formula>
    </cfRule>
    <cfRule type="expression" dxfId="5" priority="6">
      <formula>План</formula>
    </cfRule>
    <cfRule type="expression" dxfId="4" priority="7">
      <formula>J$4=выбранный_период</formula>
    </cfRule>
    <cfRule type="expression" dxfId="3" priority="11">
      <formula>MOD(COLUMN(),2)</formula>
    </cfRule>
    <cfRule type="expression" dxfId="2" priority="12">
      <formula>MOD(COLUMN(),2)=0</formula>
    </cfRule>
  </conditionalFormatting>
  <conditionalFormatting sqref="C31:BQ31">
    <cfRule type="expression" dxfId="1" priority="2">
      <formula>TRUE</formula>
    </cfRule>
  </conditionalFormatting>
  <conditionalFormatting sqref="J4:BQ4">
    <cfRule type="expression" dxfId="0" priority="8">
      <formula>J$4=выбранный_период</formula>
    </cfRule>
  </conditionalFormatting>
  <dataValidations count="14">
    <dataValidation allowBlank="1" showInputMessage="1" showErrorMessage="1" prompt="Планировщик проекта использует периоды для интервалов. Начало=1 соответствует периоду 1, а длительность=5 означает, что проект охватывает 5 периодов, начиная с начального периода. Введите данные, начиная с ячейки B5, чтобы обновить диаграмму" sqref="A1:B1" xr:uid="{00000000-0002-0000-0000-000000000000}"/>
    <dataValidation type="list" errorStyle="warning" allowBlank="1" showInputMessage="1" showErrorMessage="1" error="Введите значение от 1 до 60 или выберите период из списка — нажмите &quot;ОТМЕНА&quot;, ALT+СТРЕЛКА ВНИЗ и ВВОД, чтобы выбрать значение" prompt="Введите период в диапазоне от 1 до 60 или выберите период в списке. Нажмите клавиши ALT+СТРЕЛКА ВНИЗ, чтобы открыть список, а затем — клавишу ВВОД, чтобы выбрать значение" sqref="J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Эта ячейка условных обозначений показывает плановую длительность" sqref="L2" xr:uid="{00000000-0002-0000-0000-000002000000}"/>
    <dataValidation allowBlank="1" showInputMessage="1" showErrorMessage="1" prompt="Эта ячейка условных обозначений показывает фактическую длительность" sqref="R2" xr:uid="{00000000-0002-0000-0000-000003000000}"/>
    <dataValidation allowBlank="1" showInputMessage="1" showErrorMessage="1" prompt="Эта ячейка условных обозначений показывает процент выполнения проекта" sqref="W2" xr:uid="{00000000-0002-0000-0000-000004000000}"/>
    <dataValidation allowBlank="1" showInputMessage="1" showErrorMessage="1" prompt="Эта ячейка условных обозначений показывает фактическую внеплановую длительность" sqref="AB2" xr:uid="{00000000-0002-0000-0000-000005000000}"/>
    <dataValidation allowBlank="1" showInputMessage="1" showErrorMessage="1" prompt="Эта ячейка условных обозначений показывает внеплановый процент выполнения проекта" sqref="AJ2" xr:uid="{00000000-0002-0000-0000-000006000000}"/>
    <dataValidation allowBlank="1" showInputMessage="1" showErrorMessage="1" prompt="Периоды разделены на участки от 1 до 60, начиная с ячейки H4 и до ячейки BO4 " sqref="J3" xr:uid="{00000000-0002-0000-0000-000007000000}"/>
    <dataValidation allowBlank="1" showInputMessage="1" showErrorMessage="1" prompt="Введите действие в столбце B, начиная с ячейки B5_x000a_" sqref="C3:F4" xr:uid="{00000000-0002-0000-0000-000008000000}"/>
    <dataValidation allowBlank="1" showInputMessage="1" showErrorMessage="1" prompt="Введите фактическое начало периода в столбце E, начиная с ячейки E5" sqref="G3:G4" xr:uid="{00000000-0002-0000-0000-00000B000000}"/>
    <dataValidation allowBlank="1" showInputMessage="1" showErrorMessage="1" prompt="Введите фактическую длительность периода в столбце F, начиная с ячейки F5" sqref="H3:H4" xr:uid="{00000000-0002-0000-0000-00000C000000}"/>
    <dataValidation allowBlank="1" showInputMessage="1" showErrorMessage="1" prompt="Введите процент выполнения проекта в столбце G, начиная с ячейки G5" sqref="I3:I4" xr:uid="{00000000-0002-0000-0000-00000D000000}"/>
    <dataValidation allowBlank="1" showInputMessage="1" showErrorMessage="1" prompt="Название проекта. Введите новое название в этой ячейке. Выделите период в ячейке H2. Условные обозначения диаграммы приведены в ячейках от J2 до AI2" sqref="C1:F1" xr:uid="{00000000-0002-0000-0000-00000E000000}"/>
    <dataValidation allowBlank="1" showInputMessage="1" showErrorMessage="1" prompt="Выберите период для выделения в ячейке H2. Условные обозначения диаграммы приведены в ячейках от J2 до AI2" sqref="C2:H2" xr:uid="{00000000-0002-0000-0000-00000F000000}"/>
  </dataValidations>
  <printOptions horizontalCentered="1"/>
  <pageMargins left="0.45" right="0.45" top="0.5" bottom="0.5" header="0.3" footer="0.3"/>
  <pageSetup paperSize="9" scale="54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3</vt:i4>
      </vt:variant>
    </vt:vector>
  </HeadingPairs>
  <TitlesOfParts>
    <vt:vector size="7" baseType="lpstr">
      <vt:lpstr>Пример 1</vt:lpstr>
      <vt:lpstr>Пример 2</vt:lpstr>
      <vt:lpstr>ТАБЛИЦА ДАННЫХ</vt:lpstr>
      <vt:lpstr>Планировщик проекта</vt:lpstr>
      <vt:lpstr>выбранный_период</vt:lpstr>
      <vt:lpstr>'Планировщик проекта'!Заголовки_для_печати</vt:lpstr>
      <vt:lpstr>ОбластьЗаголовка..BO60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2019-07-05T13:38:32Z</dcterms:created>
  <dcterms:modified xsi:type="dcterms:W3CDTF">2026-07-17T15:55:09Z</dcterms:modified>
</cp:coreProperties>
</file>
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inna\Downloads\"/>
    </mc:Choice>
  </mc:AlternateContent>
  <xr:revisionPtr revIDLastSave="0" documentId="8_{B6D03FC2-842F-4B00-ACE7-FDBB7D49757A}" xr6:coauthVersionLast="37" xr6:coauthVersionMax="37" xr10:uidLastSave="{00000000-0000-0000-0000-000000000000}"/>
  <workbookProtection workbookAlgorithmName="SHA-512" workbookHashValue="9BSvA8ngIgRbPGpWQYu5c6jXc2vUrBmIIbqdW5FKPKGkzFmbCuUi/d+R6oxi8fpq/L9oObBRRCOKuw2SEVGVJA==" workbookSaltValue="6v36ypmqVNgk/okiC8jG3Q==" workbookSpinCount="100000" lockStructure="1"/>
  <bookViews>
    <workbookView xWindow="0" yWindow="0" windowWidth="19200" windowHeight="6940" activeTab="1" xr2:uid="{00000000-000D-0000-FFFF-FFFF00000000}"/>
  </bookViews>
  <sheets>
    <sheet name="Приветствие" sheetId="1" r:id="rId1"/>
    <sheet name="Таблица с рисками" sheetId="2" r:id="rId2"/>
    <sheet name="Карта рисков" sheetId="3" r:id="rId3"/>
  </sheets>
  <calcPr calcId="179021" refMode="R1C1" fullCalcOnLoad="1"/>
</workbook>
</file>

<file path=xl/sharedStrings.xml><?xml version="1.0" encoding="utf-8"?>
<sst xmlns="http://schemas.openxmlformats.org/spreadsheetml/2006/main" count="35" uniqueCount="35">
  <si>
    <t xml:space="preserve">Здравствуйте! </t>
  </si>
  <si>
    <t xml:space="preserve">Меня зовут Татьяна и я разработала данный файл в обучающих целях для сайта </t>
  </si>
  <si>
    <t>https://course-excel.ru/</t>
  </si>
  <si>
    <t>Наименование проекта:</t>
  </si>
  <si>
    <t>от 0 до 1</t>
  </si>
  <si>
    <t>Номер риска</t>
  </si>
  <si>
    <t>Обозначение риска</t>
  </si>
  <si>
    <t>Наименование риска</t>
  </si>
  <si>
    <t>Влияние риска на проект/предприятие</t>
  </si>
  <si>
    <t>Что является триггером для проявление данного риска?</t>
  </si>
  <si>
    <t>Оценка вероятности возникновения риска</t>
  </si>
  <si>
    <t>Оценка силы воздействия риска</t>
  </si>
  <si>
    <t xml:space="preserve">Итоговый коэффициент </t>
  </si>
  <si>
    <t>Мероприятия по минимизации рисков</t>
  </si>
  <si>
    <t>1 вариант</t>
  </si>
  <si>
    <t>Дополнение к видео: чтобы в ручную не прописывать подписи к данным на рисунке можно сделать следующие действия:</t>
  </si>
  <si>
    <t>1) нажать на любую точку на графике правой кнопкой мыши и добавить подписи к данным</t>
  </si>
  <si>
    <t>2) далее нажать на подписи данных правой кнопкой мыши и выбрать формат подписей к данным</t>
  </si>
  <si>
    <t xml:space="preserve">3) в параметрах подписи убрать галочки "Значения X" и "линии выноски" </t>
  </si>
  <si>
    <t>4) выбрать галочку "Значение из ячеек" и сослаться на столбец с кратким наименованием рисков</t>
  </si>
  <si>
    <t>2 вариант</t>
  </si>
  <si>
    <t>0,8-1</t>
  </si>
  <si>
    <t>0,6-0,8</t>
  </si>
  <si>
    <t xml:space="preserve">Высокий приоритет </t>
  </si>
  <si>
    <t>0,5 - 0,6</t>
  </si>
  <si>
    <t>Средний приоритет</t>
  </si>
  <si>
    <t>0,1 - 0,5</t>
  </si>
  <si>
    <t>Низкий приоритет</t>
  </si>
  <si>
    <t>0,1-0,4</t>
  </si>
  <si>
    <t>0,4 - 0,6</t>
  </si>
  <si>
    <t>0,8 - 1</t>
  </si>
  <si>
    <t>от 0,505 до 1</t>
  </si>
  <si>
    <t>от 0,14 до 0,505</t>
  </si>
  <si>
    <t>менее 0,14</t>
  </si>
  <si>
    <t>3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</si>
</sst>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sz val="10"/>
      <color rgb="FF595959"/>
      <name val="Calibri Light"/>
      <family val="2"/>
      <charset val="204"/>
      <scheme val="major"/>
    </font>
    <font>
      <sz val="10"/>
      <color rgb="FF595959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0"/>
      <color theme="1"/>
      <name val="Calibri Light"/>
      <family val="2"/>
      <charset val="204"/>
      <scheme val="major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2"/>
      <color rgb="FF0F1115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C00000"/>
        <bgColor rgb="FFC0000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6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6" fillId="2" borderId="1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6" fillId="4" borderId="1" xfId="0" applyFont="1" applyFill="1" applyBorder="1"/>
    <xf numFmtId="0" fontId="6" fillId="4" borderId="0" xfId="0" applyFont="1" applyFill="1"/>
    <xf numFmtId="0" fontId="6" fillId="0" borderId="0" xfId="0" applyFont="1" applyAlignment="1">
      <alignment horizontal="left" vertical="center"/>
    </xf>
    <xf numFmtId="0" fontId="6" fillId="5" borderId="1" xfId="0" applyFont="1" applyFill="1" applyBorder="1"/>
    <xf numFmtId="0" fontId="6" fillId="3" borderId="0" xfId="0" applyFont="1" applyFill="1"/>
    <xf numFmtId="0" fontId="6" fillId="5" borderId="0" xfId="0" applyFont="1" applyFill="1"/>
    <xf numFmtId="0" fontId="9" fillId="0" borderId="0" xfId="0" applyFont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6" fillId="5" borderId="3" xfId="0" applyFont="1" applyFill="1" applyBorder="1"/>
    <xf numFmtId="0" fontId="6" fillId="6" borderId="3" xfId="0" applyFont="1" applyFill="1" applyBorder="1"/>
    <xf numFmtId="0" fontId="6" fillId="4" borderId="3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10" fillId="7" borderId="0" xfId="0" applyFont="1" applyFill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7" borderId="6" xfId="0" applyFont="1" applyFill="1" applyBorder="1" applyAlignment="1">
      <alignment horizontal="left" vertical="center" wrapText="1" indent="1"/>
    </xf>
    <xf numFmtId="0" fontId="18" fillId="7" borderId="3" xfId="0" applyFont="1" applyFill="1" applyBorder="1" applyAlignment="1">
      <alignment horizontal="left" vertical="center" wrapText="1" indent="1"/>
    </xf>
    <xf numFmtId="0" fontId="18" fillId="7" borderId="7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7" borderId="4" xfId="0" applyFont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left" vertical="center" wrapText="1" indent="1"/>
    </xf>
    <xf numFmtId="0" fontId="20" fillId="7" borderId="5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2" fillId="7" borderId="4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left" vertical="center" wrapText="1" indent="1"/>
    </xf>
    <xf numFmtId="0" fontId="22" fillId="7" borderId="5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2" fillId="7" borderId="8" xfId="0" applyFont="1" applyFill="1" applyBorder="1" applyAlignment="1">
      <alignment horizontal="left" vertical="center" wrapText="1" indent="1"/>
    </xf>
    <xf numFmtId="0" fontId="22" fillId="7" borderId="2" xfId="0" applyFont="1" applyFill="1" applyBorder="1" applyAlignment="1">
      <alignment horizontal="left" vertical="center" wrapText="1" indent="1"/>
    </xf>
    <xf numFmtId="0" fontId="22" fillId="7" borderId="9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right" vertical="center" wrapText="1" indent="1"/>
    </xf>
    <xf numFmtId="0" fontId="24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right" vertical="center" wrapText="1" indent="1"/>
    </xf>
    <xf numFmtId="0" fontId="14" fillId="7" borderId="1" xfId="0" applyFont="1" applyFill="1" applyBorder="1" applyAlignment="1">
      <alignment horizontal="right" vertical="center" wrapText="1" indent="1"/>
    </xf>
    <xf numFmtId="0" fontId="11" fillId="8" borderId="0" xfId="0" applyFont="1" applyFill="1" applyAlignment="1">
      <alignment horizontal="left" vertical="center" wrapText="1" indent="1"/>
    </xf>
    <xf numFmtId="0" fontId="5" fillId="0" borderId="0" xfId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24"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'Таблица с рисками'!$G$3</c:f>
              <c:strCache>
                <c:ptCount val="1"/>
                <c:pt idx="0">
                  <c:v>Оценка силы воздействия риска</c:v>
                </c:pt>
              </c:strCache>
            </c:strRef>
          </c:tx>
          <c:spPr>
            <a:prstGeom prst="rect">
              <a:avLst/>
            </a:prstGeom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'Таблица с рисками'!$F$4:$F$22</c:f>
              <c:numCache>
                <c:formatCode>General</c:formatCode>
                <c:ptCount val="19"/>
                <c:pt idx="0">
                  <c:v>0.7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0.5</c:v>
                </c:pt>
                <c:pt idx="5">
                  <c:v>0.6</c:v>
                </c:pt>
                <c:pt idx="6">
                  <c:v>0.4</c:v>
                </c:pt>
                <c:pt idx="7">
                  <c:v>0.5</c:v>
                </c:pt>
                <c:pt idx="8">
                  <c:v>0.5</c:v>
                </c:pt>
                <c:pt idx="9">
                  <c:v>0.4</c:v>
                </c:pt>
                <c:pt idx="10">
                  <c:v>0.4</c:v>
                </c:pt>
                <c:pt idx="11">
                  <c:v>0.3</c:v>
                </c:pt>
                <c:pt idx="12">
                  <c:v>0.3</c:v>
                </c:pt>
                <c:pt idx="13">
                  <c:v>0.5</c:v>
                </c:pt>
                <c:pt idx="14">
                  <c:v>0.6</c:v>
                </c:pt>
                <c:pt idx="15">
                  <c:v>0.2</c:v>
                </c:pt>
                <c:pt idx="16">
                  <c:v>0.2</c:v>
                </c:pt>
                <c:pt idx="17">
                  <c:v>0.4</c:v>
                </c:pt>
                <c:pt idx="18">
                  <c:v>0.4</c:v>
                </c:pt>
              </c:numCache>
            </c:numRef>
          </c:xVal>
          <c:yVal>
            <c:numRef>
              <c:f>'Таблица с рисками'!$G$4:$G$22</c:f>
              <c:numCache>
                <c:formatCode>General</c:formatCode>
                <c:ptCount val="19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0.7</c:v>
                </c:pt>
                <c:pt idx="4">
                  <c:v>0.8</c:v>
                </c:pt>
                <c:pt idx="5">
                  <c:v>0.6</c:v>
                </c:pt>
                <c:pt idx="6">
                  <c:v>0.8</c:v>
                </c:pt>
                <c:pt idx="7">
                  <c:v>0.6</c:v>
                </c:pt>
                <c:pt idx="8">
                  <c:v>0.7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  <c:pt idx="12">
                  <c:v>0.9</c:v>
                </c:pt>
                <c:pt idx="13">
                  <c:v>0.5</c:v>
                </c:pt>
                <c:pt idx="14">
                  <c:v>0.4</c:v>
                </c:pt>
                <c:pt idx="15">
                  <c:v>1.0</c:v>
                </c:pt>
                <c:pt idx="16">
                  <c:v>0.6</c:v>
                </c:pt>
                <c:pt idx="17">
                  <c:v>0.5</c:v>
                </c:pt>
                <c:pt idx="18">
                  <c:v>0.3</c:v>
                </c:pt>
              </c:numCache>
            </c:numRef>
          </c:yVal>
          <c:smooth val="0"/>
          <c:extLst xmlns:mc="http://schemas.openxmlformats.org/markup-compatibility/2006" xmlns:c15="http://schemas.microsoft.com/office/drawing/2012/chart" xmlns:c14="http://schemas.microsoft.com/office/drawing/2007/8/2/chart">
            <c:ext xmlns:c15="http://schemas.microsoft.com/office/drawing/2012/chart" uri="{02D57815-91ED-43cb-92C2-25804820EDAC}">
              <c15:datalabelsRange>
                <c15:f>'Таблица с рисками'!$B$4:$B$22</c15:f>
                <c15:dlblRangeCache>
                  <c:ptCount val="19"/>
                  <c:pt idx="0">
                    <c:v>R 1 </c:v>
                  </c:pt>
                  <c:pt idx="1">
                    <c:v>R 2 </c:v>
                  </c:pt>
                  <c:pt idx="2">
                    <c:v>R 3 </c:v>
                  </c:pt>
                  <c:pt idx="3">
                    <c:v>R 4 </c:v>
                  </c:pt>
                  <c:pt idx="4">
                    <c:v>R 5 </c:v>
                  </c:pt>
                  <c:pt idx="5">
                    <c:v>R 6 </c:v>
                  </c:pt>
                  <c:pt idx="6">
                    <c:v>R 7 </c:v>
                  </c:pt>
                  <c:pt idx="7">
                    <c:v>R 8 </c:v>
                  </c:pt>
                  <c:pt idx="8">
                    <c:v>R 9 </c:v>
                  </c:pt>
                  <c:pt idx="9">
                    <c:v>R 10 </c:v>
                  </c:pt>
                  <c:pt idx="10">
                    <c:v>R 11 </c:v>
                  </c:pt>
                  <c:pt idx="11">
                    <c:v>R 12 </c:v>
                  </c:pt>
                  <c:pt idx="12">
                    <c:v>R 13 </c:v>
                  </c:pt>
                  <c:pt idx="13">
                    <c:v>R 14 </c:v>
                  </c:pt>
                  <c:pt idx="14">
                    <c:v>R 15 </c:v>
                  </c:pt>
                  <c:pt idx="15">
                    <c:v>R 16 </c:v>
                  </c:pt>
                  <c:pt idx="16">
                    <c:v>R 17 </c:v>
                  </c:pt>
                  <c:pt idx="17">
                    <c:v>R 18 </c:v>
                  </c:pt>
                  <c:pt idx="18">
                    <c:v>R 19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F60F-4538-BD7F-986E0FFF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33823"/>
        <c:axId val="1166029503"/>
      </c:scatterChart>
      <c:valAx>
        <c:axId val="1166033823"/>
        <c:scaling>
          <c:orientation val="minMax"/>
          <c:max val="1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вероятности возникновения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29503"/>
        <c:crosses val="autoZero"/>
        <c:crossBetween val="midCat"/>
      </c:valAx>
      <c:valAx>
        <c:axId val="1166029503"/>
        <c:scaling>
          <c:orientation val="minMax"/>
          <c:max val="1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силы воздействия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33823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207062</xdr:colOff>
      <xdr:row>11</xdr:row>
      <xdr:rowOff>39782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645462" cy="346878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177800</xdr:rowOff>
    </xdr:from>
    <xdr:to>
      <xdr:col>8</xdr:col>
      <xdr:colOff>628649</xdr:colOff>
      <xdr:row>22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247650</xdr:colOff>
      <xdr:row>10</xdr:row>
      <xdr:rowOff>171450</xdr:rowOff>
    </xdr:from>
    <xdr:to>
      <xdr:col>16</xdr:col>
      <xdr:colOff>1257828</xdr:colOff>
      <xdr:row>26</xdr:row>
      <xdr:rowOff>552747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CFFE314-BEE7-4E7E-ADF6-B8170633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00"/>
          <a:ext cx="6096528" cy="34292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I22">
  <autoFilter ref="A3:I22" xr:uid="{00000000-0009-0000-0100-000001000000}"/>
  <tableColumns count="9">
    <tableColumn id="1" xr3:uid="{00000000-0010-0000-0000-000001000000}" name="Номер риска" dataDxfId="20"/>
    <tableColumn id="2" xr3:uid="{00000000-0010-0000-0000-000002000000}" name="Обозначение риска" dataDxfId="19"/>
    <tableColumn id="3" xr3:uid="{00000000-0010-0000-0000-000003000000}" name="Наименование риска" dataDxfId="18"/>
    <tableColumn id="4" xr3:uid="{00000000-0010-0000-0000-000004000000}" name="Влияние риска на проект/предприятие" dataDxfId="17"/>
    <tableColumn id="5" xr3:uid="{00000000-0010-0000-0000-000005000000}" name="Что является триггером для проявление данного риска?" dataDxfId="16"/>
    <tableColumn id="6" xr3:uid="{00000000-0010-0000-0000-000006000000}" name="Оценка вероятности возникновения риска" dataDxfId="15"/>
    <tableColumn id="7" xr3:uid="{00000000-0010-0000-0000-000007000000}" name="Оценка силы воздействия риска" dataDxfId="14"/>
    <tableColumn id="8" xr3:uid="{00000000-0010-0000-0000-000008000000}" name="Итоговый коэффициент " dataDxfId="13"/>
    <tableColumn id="9" xr3:uid="{00000000-0010-0000-0000-000009000000}" name="Мероприятия по минимизации рисков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rse-excel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9"/>
  <sheetViews>
    <sheetView workbookViewId="0">
      <selection activeCell="Q16" sqref="Q16"/>
    </sheetView>
  </sheetViews>
  <sheetFormatPr defaultRowHeight="14.5" x14ac:dyDescent="0.35"/>
  <sheetData>
    <row r="4" spans="6:17" ht="26" x14ac:dyDescent="0.6">
      <c r="F4" s="1" t="s">
        <v>0</v>
      </c>
      <c r="G4" s="2"/>
      <c r="H4" s="2"/>
      <c r="I4" s="2"/>
      <c r="J4" s="2"/>
      <c r="K4" s="2"/>
      <c r="L4" s="2"/>
      <c r="M4" s="2"/>
      <c r="N4" s="2"/>
      <c r="O4" s="2"/>
    </row>
    <row r="5" spans="6:17" ht="57.65" customHeight="1" x14ac:dyDescent="0.6">
      <c r="F5" s="3" t="s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6:17" ht="36" x14ac:dyDescent="0.8">
      <c r="F6" s="54" t="s">
        <v>2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6:17" ht="26" x14ac:dyDescent="0.6"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6:17" ht="26" x14ac:dyDescent="0.6">
      <c r="F8" s="5"/>
    </row>
    <row r="9" spans="6:17" ht="26" x14ac:dyDescent="0.6"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</sheetData>
  <sheetProtection algorithmName="SHA-512" hashValue="/+KSBwk/4epURYW2E6vDyfD5Wxc2p8Pu5yChp7B8HttnySsA9xNbek+e/wQw4wDTl6quPtZVGlhqe4W5B9rHBg==" saltValue="h45A85rX9Re0ZbUgDqRMLg==" spinCount="100000" sheet="1" objects="1" scenarios="1"/>
  <mergeCells count="1">
    <mergeCell ref="F6:Q6"/>
  </mergeCells>
  <hyperlinks>
    <hyperlink ref="F6" r:id="rId1" xr:uid="{00000000-0004-0000-0000-000000000000}"/>
  </hyperlinks>
  <pageMargins left="0.7" right="0.7" top="0.75" bottom="0.75" header="0.3" footer="0.3"/>
  <pageSetup paperSize="9" orientation="portrait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workbookViewId="0">
      <selection activeCell="C4" sqref="C4:C18"/>
    </sheetView>
  </sheetViews>
  <sheetFormatPr defaultColWidth="8.7265625" defaultRowHeight="14.5" x14ac:dyDescent="0.35"/>
  <cols>
    <col min="1" max="1" width="7.26953125" style="6" customWidth="1"/>
    <col min="2" max="2" width="13.7265625" style="6" customWidth="1"/>
    <col min="3" max="3" width="60.54296875" style="6" customWidth="1"/>
    <col min="4" max="4" width="26.26953125" style="6" customWidth="1"/>
    <col min="5" max="5" width="24.54296875" style="6" customWidth="1"/>
    <col min="6" max="7" width="19" style="6" customWidth="1"/>
    <col min="8" max="8" width="47.54296875" style="6" customWidth="1"/>
    <col min="9" max="9" width="40.1796875" style="6" customWidth="1"/>
    <col min="10" max="10" width="22.54296875" style="6" customWidth="1"/>
    <col min="11" max="11" width="19.7265625" style="6" customWidth="1"/>
    <col min="12" max="12" width="11.1796875" style="6" customWidth="1"/>
    <col min="13" max="13" width="12.26953125" style="6" customWidth="1"/>
    <col min="14" max="14" width="16.453125" style="6" customWidth="1"/>
    <col min="15" max="15" width="26.453125" style="6" customWidth="1"/>
    <col min="16" max="16" width="25.81640625" style="6" customWidth="1"/>
    <col min="17" max="16384" width="8.7265625" style="6"/>
  </cols>
  <sheetData>
    <row r="1" spans="1:9" x14ac:dyDescent="0.35">
      <c r="A1" s="6" t="s">
        <v>3</v>
      </c>
      <c r="C1" s="7" t="inlineStr">
        <is>
          <t xml:space="preserve">TableMind — AI-сервис проверки Excel-моделей (веб-аудит + надстройка Excel)</t>
        </is>
      </c>
      <c r="D1" s="8"/>
      <c r="E1" s="8"/>
    </row>
    <row r="2" spans="1:9" x14ac:dyDescent="0.35">
      <c r="F2" s="9" t="s">
        <v>4</v>
      </c>
      <c r="G2" s="9" t="s">
        <v>4</v>
      </c>
    </row>
    <row r="3" spans="1:9" s="10" customFormat="1" ht="43.5" x14ac:dyDescent="0.3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</row>
    <row r="4" ht="78" customHeight="1" spans="1:9" x14ac:dyDescent="0.35">
      <c r="A4" s="10">
        <v>1</v>
      </c>
      <c r="B4" s="10" t="str">
        <f>"R "&amp;Таблица1[[#This Row],[Номер риска]]&amp;" "</f>
        <v xml:space="preserve">R 1 </v>
      </c>
      <c r="C4" s="58" t="inlineStr">
        <is>
          <t xml:space="preserve">Крупные платформы (Microsoft Copilot, ChatGPT / Claude for Excel) выпустят бесплатный «режим проверки»</t>
        </is>
      </c>
      <c r="D4" s="58" t="inlineStr">
        <is>
          <t xml:space="preserve">Высокое — потеря уникальности, падение конверсии и выручки</t>
        </is>
      </c>
      <c r="E4" s="58" t="inlineStr">
        <is>
          <t xml:space="preserve">Анонс функции аудита или верификации у лидеров рынка</t>
        </is>
      </c>
      <c r="F4" s="30">
        <v>0.7</v>
      </c>
      <c r="G4" s="30">
        <v>0.8</v>
      </c>
      <c r="H4" s="10">
        <f>Таблица1[[#This Row],[Оценка вероятности возникновения риска]]*Таблица1[[#This Row],[Оценка силы воздействия риска]]</f>
        <v>0.56</v>
      </c>
      <c r="I4" s="58" t="inlineStr">
        <is>
          <t xml:space="preserve">Снижение. Фокус на нише аудита финмоделей; сверка текста с таблицей и provenance; API/MCP как слой проверки для чужих AI-агентов; ежемесячный мониторинг конкурентов. Ответственный: Владелец продукта.</t>
        </is>
      </c>
    </row>
    <row r="5" ht="78" customHeight="1" spans="1:9" x14ac:dyDescent="0.35">
      <c r="A5" s="10">
        <v>2</v>
      </c>
      <c r="B5" s="10" t="str">
        <f>"R "&amp;Таблица1[[#This Row],[Номер риска]]&amp;" "</f>
        <v xml:space="preserve">R 2 </v>
      </c>
      <c r="C5" s="58" t="inlineStr">
        <is>
          <t xml:space="preserve">Высокая доля ложных срабатываний правил (precision критичных находок &lt; 90%)</t>
        </is>
      </c>
      <c r="D5" s="58" t="inlineStr">
        <is>
          <t xml:space="preserve">Критическое — потеря доверия, отток бета-пользователей, провал критерия приёмки</t>
        </is>
      </c>
      <c r="E5" s="58" t="inlineStr">
        <is>
          <t xml:space="preserve">Доля подавленных находок &gt; 15%; precision ниже порога в CI</t>
        </is>
      </c>
      <c r="F5" s="30">
        <v>0.6</v>
      </c>
      <c r="G5" s="30">
        <v>0.9</v>
      </c>
      <c r="H5" s="10">
        <f>Таблица1[[#This Row],[Оценка вероятности возникновения риска]]*Таблица1[[#This Row],[Оценка силы воздействия риска]]</f>
        <v>0.54</v>
      </c>
      <c r="I5" s="58" t="inlineStr">
        <is>
          <t xml:space="preserve">Снижение. Precision — главная метрика; чистый eval-набор; уровни серьёзности; подавление правил; правило выпускается только после прохождения eval. Ответственный: ML/LLM-инженер.</t>
        </is>
      </c>
    </row>
    <row r="6" ht="78" customHeight="1" spans="1:9" x14ac:dyDescent="0.35">
      <c r="A6" s="10">
        <v>3</v>
      </c>
      <c r="B6" s="10" t="str">
        <f>"R "&amp;Таблица1[[#This Row],[Номер риска]]&amp;" "</f>
        <v xml:space="preserve">R 3 </v>
      </c>
      <c r="C6" s="58" t="inlineStr">
        <is>
          <t xml:space="preserve">Пользователи не захотят менять привычную работу в Excel и пробовать новый сервис</t>
        </is>
      </c>
      <c r="D6" s="58" t="inlineStr">
        <is>
          <t xml:space="preserve">Критическое — нет активации и продаж — продукт не подтверждает ценность</t>
        </is>
      </c>
      <c r="E6" s="58" t="inlineStr">
        <is>
          <t xml:space="preserve">Менее 8% посетителей начинают аудит; нет повторных аудитов</t>
        </is>
      </c>
      <c r="F6" s="53">
        <v>0.7</v>
      </c>
      <c r="G6" s="53">
        <v>0.9</v>
      </c>
      <c r="H6" s="10">
        <f>Таблица1[[#This Row],[Оценка вероятности возникновения риска]]*Таблица1[[#This Row],[Оценка силы воздействия риска]]</f>
        <v>0.63</v>
      </c>
      <c r="I6" s="58" t="inlineStr">
        <is>
          <t xml:space="preserve">Снижение. Старт с веб-аудита без установки и надстройки внутри Excel; собственный редактор — только после подтверждения спроса; бесплатный тизер находок. Ответственный: Владелец продукта.</t>
        </is>
      </c>
    </row>
    <row r="7" ht="78" customHeight="1" spans="1:9" x14ac:dyDescent="0.35">
      <c r="A7" s="10">
        <v>4</v>
      </c>
      <c r="B7" s="10" t="str">
        <f>"R "&amp;Таблица1[[#This Row],[Номер риска]]&amp;" "</f>
        <v xml:space="preserve">R 4 </v>
      </c>
      <c r="C7" s="58" t="inlineStr">
        <is>
          <t xml:space="preserve">Срыв сроков критического пути из-за недооценки трудоёмкости (ядро, надстройка)</t>
        </is>
      </c>
      <c r="D7" s="58" t="inlineStr">
        <is>
          <t xml:space="preserve">Высокое — сдвиг релиза, рост затрат на оплату труда</t>
        </is>
      </c>
      <c r="E7" s="58" t="inlineStr">
        <is>
          <t xml:space="preserve">Отставание &gt; 2 недель от базового плана на воротах</t>
        </is>
      </c>
      <c r="F7" s="30">
        <v>0.8</v>
      </c>
      <c r="G7" s="30">
        <v>0.7</v>
      </c>
      <c r="H7" s="10">
        <f>Таблица1[[#This Row],[Оценка вероятности возникновения риска]]*Таблица1[[#This Row],[Оценка силы воздействия риска]]</f>
        <v>0.56</v>
      </c>
      <c r="I7" s="58" t="inlineStr">
        <is>
          <t xml:space="preserve">Снижение. Ворота фаз, еженедельный контроль по диаграмме Ганта, MoSCoW — перенос Should в v2, AI-агенты для типового кода. Ответственный: Руководитель проекта.</t>
        </is>
      </c>
    </row>
    <row r="8" ht="78" customHeight="1" spans="1:9" x14ac:dyDescent="0.35">
      <c r="A8" s="10">
        <v>5</v>
      </c>
      <c r="B8" s="10" t="str">
        <f>"R "&amp;Таблица1[[#This Row],[Номер риска]]&amp;" "</f>
        <v xml:space="preserve">R 5 </v>
      </c>
      <c r="C8" s="58" t="inlineStr">
        <is>
          <t xml:space="preserve">Пользователи не готовы загружать конфиденциальные финмодели в облако</t>
        </is>
      </c>
      <c r="D8" s="58" t="inlineStr">
        <is>
          <t xml:space="preserve">Высокое — низкая активация, мало данных для проверки ценности</t>
        </is>
      </c>
      <c r="E8" s="58" t="inlineStr">
        <is>
          <t xml:space="preserve">Отказы на шаге загрузки &gt; 70%</t>
        </is>
      </c>
      <c r="F8" s="53">
        <v>0.5</v>
      </c>
      <c r="G8" s="53">
        <v>0.8</v>
      </c>
      <c r="H8" s="10">
        <f>Таблица1[[#This Row],[Оценка вероятности возникновения риска]]*Таблица1[[#This Row],[Оценка силы воздействия риска]]</f>
        <v>0.4</v>
      </c>
      <c r="I8" s="58" t="inlineStr">
        <is>
          <t xml:space="preserve">Снижение. Блок доверия у загрузчика, хостинг в ЕС, удаление файлов по сроку, отказ от обучения на данных, демо-файл «проверить на примере». Ответственный: Руководитель проекта.</t>
        </is>
      </c>
    </row>
    <row r="9" ht="78" customHeight="1" spans="1:9" x14ac:dyDescent="0.35">
      <c r="A9" s="10">
        <v>6</v>
      </c>
      <c r="B9" s="10" t="str">
        <f>"R "&amp;Таблица1[[#This Row],[Номер риска]]&amp;" "</f>
        <v xml:space="preserve">R 6 </v>
      </c>
      <c r="C9" s="58" t="inlineStr">
        <is>
          <t xml:space="preserve">Сложные элементы xlsx (объединённые ячейки, массивы, локали, внешние ссылки) — расхождение пересчёта с Excel</t>
        </is>
      </c>
      <c r="D9" s="58" t="inlineStr">
        <is>
          <t xml:space="preserve">Среднее — ошибочные находки, сдвиг сроков разработки ядра</t>
        </is>
      </c>
      <c r="E9" s="58" t="inlineStr">
        <is>
          <t xml:space="preserve">Доля ошибок парсинга &gt; 5% на eval-наборе</t>
        </is>
      </c>
      <c r="F9" s="10">
        <v>0.6</v>
      </c>
      <c r="G9" s="10">
        <v>0.6</v>
      </c>
      <c r="H9" s="10">
        <f>Таблица1[[#This Row],[Оценка вероятности возникновения риска]]*Таблица1[[#This Row],[Оценка силы воздействия риска]]</f>
        <v>0.36</v>
      </c>
      <c r="I9" s="58" t="inlineStr">
        <is>
          <t xml:space="preserve">Снижение. Набор эталонных книг; сложные элементы только читаются с предупреждением и пометкой «проверено частично». Ответственный: Бэкенд-разработчик 2.</t>
        </is>
      </c>
    </row>
    <row r="10" ht="78" customHeight="1" spans="1:9" x14ac:dyDescent="0.35">
      <c r="A10" s="10">
        <v>7</v>
      </c>
      <c r="B10" s="10" t="str">
        <f>"R "&amp;Таблица1[[#This Row],[Номер риска]]&amp;" "</f>
        <v xml:space="preserve">R 7 </v>
      </c>
      <c r="C10" s="58" t="inlineStr">
        <is>
          <t xml:space="preserve">Уход или выгорание ключевого разработчика ядра верификации</t>
        </is>
      </c>
      <c r="D10" s="58" t="inlineStr">
        <is>
          <t xml:space="preserve">Высокое — потеря знаний, срыв сроков критического пути</t>
        </is>
      </c>
      <c r="E10" s="58" t="inlineStr">
        <is>
          <t xml:space="preserve">Снижение вовлечённости, переработки, внешнее предложение о работе</t>
        </is>
      </c>
      <c r="F10" s="10">
        <v>0.4</v>
      </c>
      <c r="G10" s="10">
        <v>0.8</v>
      </c>
      <c r="H10" s="10">
        <f>Таблица1[[#This Row],[Оценка вероятности возникновения риска]]*Таблица1[[#This Row],[Оценка силы воздействия риска]]</f>
        <v>0.32</v>
      </c>
      <c r="I10" s="58" t="inlineStr">
        <is>
          <t xml:space="preserve">Снижение. ADR и документация, обязательное код-ревью, совместное владение ядром двумя разработчиками, контроль нагрузки. Ответственный: Руководитель проекта.</t>
        </is>
      </c>
    </row>
    <row r="11" ht="78" customHeight="1" spans="1:9" x14ac:dyDescent="0.35">
      <c r="A11" s="10">
        <v>8</v>
      </c>
      <c r="B11" s="10" t="str">
        <f>"R "&amp;Таблица1[[#This Row],[Номер риска]]&amp;" "</f>
        <v xml:space="preserve">R 8 </v>
      </c>
      <c r="C11" s="58" t="inlineStr">
        <is>
          <t xml:space="preserve">Рост цен или изменение условий LLM API</t>
        </is>
      </c>
      <c r="D11" s="58" t="inlineStr">
        <is>
          <t xml:space="preserve">Среднее — снижение валовой маржи ниже 65%</t>
        </is>
      </c>
      <c r="E11" s="58" t="inlineStr">
        <is>
          <t xml:space="preserve">Стоимость LLM &gt; 30% выручки на пользователя</t>
        </is>
      </c>
      <c r="F11" s="10">
        <v>0.5</v>
      </c>
      <c r="G11" s="10">
        <v>0.6</v>
      </c>
      <c r="H11" s="10">
        <f>Таблица1[[#This Row],[Оценка вероятности возникновения риска]]*Таблица1[[#This Row],[Оценка силы воздействия риска]]</f>
        <v>0.3</v>
      </c>
      <c r="I11" s="58" t="inlineStr">
        <is>
          <t xml:space="preserve">Снижение. LLM gateway с несколькими провайдерами, кэш промптов, эвристики до вызова LLM, лимиты тарифов. Ответственный: ML/LLM-инженер.</t>
        </is>
      </c>
    </row>
    <row r="12" ht="78" customHeight="1" spans="1:9" x14ac:dyDescent="0.35">
      <c r="A12" s="10">
        <v>9</v>
      </c>
      <c r="B12" s="10" t="str">
        <f>"R "&amp;Таблица1[[#This Row],[Номер риска]]&amp;" "</f>
        <v xml:space="preserve">R 9 </v>
      </c>
      <c r="C12" s="58" t="inlineStr">
        <is>
          <t xml:space="preserve">Низкая конверсия Free → платный тариф (&lt; 2%)</t>
        </is>
      </c>
      <c r="D12" s="58" t="inlineStr">
        <is>
          <t xml:space="preserve">Высокое — цель «≥ 50 платящих пользователей» не достигнута</t>
        </is>
      </c>
      <c r="E12" s="58" t="inlineStr">
        <is>
          <t xml:space="preserve">Конверсия &lt; 2% через месяц после запуска оплаты</t>
        </is>
      </c>
      <c r="F12" s="10">
        <v>0.5</v>
      </c>
      <c r="G12" s="10">
        <v>0.7</v>
      </c>
      <c r="H12" s="10">
        <f>Таблица1[[#This Row],[Оценка вероятности возникновения риска]]*Таблица1[[#This Row],[Оценка силы воздействия риска]]</f>
        <v>0.35</v>
      </c>
      <c r="I12" s="58" t="inlineStr">
        <is>
          <t xml:space="preserve">Снижение. Оплата в точке максимальной ценности («исправить и скачать»), разовый аудит 9 €, пробный Pro 7 дней, A/B-тест цен. Ответственный: Владелец продукта.</t>
        </is>
      </c>
    </row>
    <row r="13" ht="78" customHeight="1" spans="1:9" x14ac:dyDescent="0.35">
      <c r="A13" s="10">
        <v>10</v>
      </c>
      <c r="B13" s="10" t="str">
        <f>"R "&amp;Таблица1[[#This Row],[Номер риска]]&amp;" "</f>
        <v xml:space="preserve">R 10 </v>
      </c>
      <c r="C13" s="58" t="inlineStr">
        <is>
          <t xml:space="preserve">Превышение бюджета проекта</t>
        </is>
      </c>
      <c r="D13" s="58" t="inlineStr">
        <is>
          <t xml:space="preserve">Среднее — нехватка средств на запуск и маркетинг</t>
        </is>
      </c>
      <c r="E13" s="58" t="inlineStr">
        <is>
          <t xml:space="preserve">Освоение бюджета опережает план более чем на 10%</t>
        </is>
      </c>
      <c r="F13" s="10">
        <v>0.4</v>
      </c>
      <c r="G13" s="10">
        <v>0.6</v>
      </c>
      <c r="H13" s="10">
        <f>Таблица1[[#This Row],[Оценка вероятности возникновения риска]]*Таблица1[[#This Row],[Оценка силы воздействия риска]]</f>
        <v>0.24</v>
      </c>
      <c r="I13" s="58" t="inlineStr">
        <is>
          <t xml:space="preserve">Принятие. Резерв 10% от базовой стоимости (47 000 BYN), ежемесячный контроль затрат, приоритизация Must have. Ответственный: Руководитель проекта.</t>
        </is>
      </c>
    </row>
    <row r="14" ht="78" customHeight="1" spans="1:9" x14ac:dyDescent="0.35">
      <c r="A14" s="10">
        <v>11</v>
      </c>
      <c r="B14" s="10" t="str">
        <f>"R "&amp;Таблица1[[#This Row],[Номер риска]]&amp;" "</f>
        <v xml:space="preserve">R 11 </v>
      </c>
      <c r="C14" s="58" t="inlineStr">
        <is>
          <t xml:space="preserve">Лицензия движка пересчёта формул (например, GPLv3) несовместима с закрытым SaaS</t>
        </is>
      </c>
      <c r="D14" s="58" t="inlineStr">
        <is>
          <t xml:space="preserve">Высокое — замена библиотеки, +1–2 месяца на критическом пути</t>
        </is>
      </c>
      <c r="E14" s="58" t="inlineStr">
        <is>
          <t xml:space="preserve">Выбрана библиотека с copyleft-лицензией</t>
        </is>
      </c>
      <c r="F14" s="10">
        <v>0.4</v>
      </c>
      <c r="G14" s="10">
        <v>0.7</v>
      </c>
      <c r="H14" s="10">
        <f>Таблица1[[#This Row],[Оценка вероятности возникновения риска]]*Таблица1[[#This Row],[Оценка силы воздействия риска]]</f>
        <v>0.28</v>
      </c>
      <c r="I14" s="58" t="inlineStr">
        <is>
          <t xml:space="preserve">Уклонение. Проверка лицензий на этапе архитектуры, выбор permissive-библиотек или собственный пересчёт, проверка лицензий в CI. Ответственный: Бэкенд-разработчик 1.</t>
        </is>
      </c>
    </row>
    <row r="15" ht="78" customHeight="1" spans="1:9" x14ac:dyDescent="0.35">
      <c r="A15" s="10">
        <v>12</v>
      </c>
      <c r="B15" s="10" t="str">
        <f>"R "&amp;Таблица1[[#This Row],[Номер риска]]&amp;" "</f>
        <v xml:space="preserve">R 12 </v>
      </c>
      <c r="C15" s="58" t="inlineStr">
        <is>
          <t xml:space="preserve">Не удастся привлечь 10–20 пилотных пользователей с реальными финмоделями</t>
        </is>
      </c>
      <c r="D15" s="58" t="inlineStr">
        <is>
          <t xml:space="preserve">Высокое — нерепрезентативный eval-набор, правила настроены «вслепую»</t>
        </is>
      </c>
      <c r="E15" s="58" t="inlineStr">
        <is>
          <t xml:space="preserve">К концу 2-го месяца &lt; 5 пилотных пользователей</t>
        </is>
      </c>
      <c r="F15" s="10">
        <v>0.3</v>
      </c>
      <c r="G15" s="10">
        <v>0.8</v>
      </c>
      <c r="H15" s="10">
        <f>Таблица1[[#This Row],[Оценка вероятности возникновения риска]]*Таблица1[[#This Row],[Оценка силы воздействия риска]]</f>
        <v>0.24</v>
      </c>
      <c r="I15" s="58" t="inlineStr">
        <is>
          <t xml:space="preserve">Снижение. Прямой выход на бухгалтерские и консалтинговые фирмы, бесплатный аудит шаблона, открытые финмодели как резерв. Ответственный: Руководитель проекта.</t>
        </is>
      </c>
    </row>
    <row r="16" ht="78" customHeight="1" spans="1:9" x14ac:dyDescent="0.35">
      <c r="A16" s="10">
        <v>13</v>
      </c>
      <c r="B16" s="10" t="str">
        <f>"R "&amp;Таблица1[[#This Row],[Номер риска]]&amp;" "</f>
        <v xml:space="preserve">R 13 </v>
      </c>
      <c r="C16" s="58" t="inlineStr">
        <is>
          <t xml:space="preserve">Нарушение GDPR / Закона РБ № 99-З «О защите персональных данных» при передаче данных LLM-провайдеру</t>
        </is>
      </c>
      <c r="D16" s="58" t="inlineStr">
        <is>
          <t xml:space="preserve">Критическое — штрафы, блокировка обработки, репутационный ущерб</t>
        </is>
      </c>
      <c r="E16" s="58" t="inlineStr">
        <is>
          <t xml:space="preserve">Нет DPA с провайдером; провайдер без обработки в ЕС</t>
        </is>
      </c>
      <c r="F16" s="10">
        <v>0.3</v>
      </c>
      <c r="G16" s="10">
        <v>0.9</v>
      </c>
      <c r="H16" s="10">
        <f>Таблица1[[#This Row],[Оценка вероятности возникновения риска]]*Таблица1[[#This Row],[Оценка силы воздействия риска]]</f>
        <v>0.27</v>
      </c>
      <c r="I16" s="58" t="inlineStr">
        <is>
          <t xml:space="preserve">Уклонение. Только провайдеры с zero data retention и регионом ЕС; DPA; реестр обработки; в LLM передаётся профиль таблицы, а не весь файл. Ответственный: Руководитель проекта (юрист).</t>
        </is>
      </c>
    </row>
    <row r="17" ht="78" customHeight="1" spans="1:16" x14ac:dyDescent="0.35">
      <c r="A17" s="10">
        <v>14</v>
      </c>
      <c r="B17" s="10" t="str">
        <f>"R "&amp;Таблица1[[#This Row],[Номер риска]]&amp;" "</f>
        <v xml:space="preserve">R 14 </v>
      </c>
      <c r="C17" s="58" t="inlineStr">
        <is>
          <t xml:space="preserve">Задержка или отказ в публикации надстройки в Microsoft AppSource</t>
        </is>
      </c>
      <c r="D17" s="58" t="inlineStr">
        <is>
          <t xml:space="preserve">Среднее — сдвиг публичного релиза основного продукта</t>
        </is>
      </c>
      <c r="E17" s="58" t="inlineStr">
        <is>
          <t xml:space="preserve">Замечания валидации AppSource; проверка дольше 4 недель</t>
        </is>
      </c>
      <c r="F17" s="10">
        <v>0.5</v>
      </c>
      <c r="G17" s="10">
        <v>0.5</v>
      </c>
      <c r="H17" s="10">
        <f>Таблица1[[#This Row],[Оценка вероятности возникновения риска]]*Таблица1[[#This Row],[Оценка силы воздействия риска]]</f>
        <v>0.25</v>
      </c>
      <c r="I17" s="58" t="inlineStr">
        <is>
          <t xml:space="preserve">Снижение. Чек-лист валидации AppSource проходится на бете 13.0 и в тестировании 14.0; подача — в первый день работы 15.0 (01.09.2027), проверка до 4 недель укладывается в месяц работы; при задержке публичный запуск идёт через веб-аудит, надстройка публикуется позже. Ответственный: Фронтенд-разработчик.</t>
        </is>
      </c>
    </row>
    <row r="18" ht="78" customHeight="1" spans="1:16" x14ac:dyDescent="0.35">
      <c r="A18" s="10">
        <v>15</v>
      </c>
      <c r="B18" s="10" t="str">
        <f>"R "&amp;Таблица1[[#This Row],[Номер риска]]&amp;" "</f>
        <v xml:space="preserve">R 15 </v>
      </c>
      <c r="C18" s="58" t="inlineStr">
        <is>
          <t xml:space="preserve">Раздувание требований (собственный редактор, коннекторы, Google Sheets)</t>
        </is>
      </c>
      <c r="D18" s="58" t="inlineStr">
        <is>
          <t xml:space="preserve">Низкое — распыление ресурсов, задержка MVP до 2 недель</t>
        </is>
      </c>
      <c r="E18" s="58" t="inlineStr">
        <is>
          <t xml:space="preserve">Запросы вне списка Must/Should от заказчика и бета-пользователей</t>
        </is>
      </c>
      <c r="F18" s="10">
        <v>0.6</v>
      </c>
      <c r="G18" s="10">
        <v>0.4</v>
      </c>
      <c r="H18" s="10">
        <f>Таблица1[[#This Row],[Оценка вероятности возникновения риска]]*Таблица1[[#This Row],[Оценка силы воздействия риска]]</f>
        <v>0.24</v>
      </c>
      <c r="I18" s="58" t="inlineStr">
        <is>
          <t xml:space="preserve">Уклонение. Зафиксированный список Won’t have, процедура управления изменениями, бэклог v2. Ответственный: Владелец продукта.</t>
        </is>
      </c>
    </row>
    <row r="19" ht="78" customHeight="1" spans="1:16" x14ac:dyDescent="0.35">
      <c r="A19" s="10">
        <v>16</v>
      </c>
      <c r="B19" s="10" t="str">
        <f>"R "&amp;Таблица1[[#This Row],[Номер риска]]&amp;" "</f>
        <v xml:space="preserve">R 16 </v>
      </c>
      <c r="C19" s="58" t="inlineStr">
        <is>
          <t xml:space="preserve">Утечка файлов клиентов (ошибка разграничения доступа, взлом)</t>
        </is>
      </c>
      <c r="D19" s="58" t="inlineStr">
        <is>
          <t xml:space="preserve">Критическое — штрафы, потеря доверия, закрытие B2B-продаж</t>
        </is>
      </c>
      <c r="E19" s="58" t="inlineStr">
        <is>
          <t xml:space="preserve">Аномальные запросы к хранилищу; критическая уязвимость в зависимостях</t>
        </is>
      </c>
      <c r="F19" s="10">
        <v>0.2</v>
      </c>
      <c r="G19" s="10">
        <v>1.0</v>
      </c>
      <c r="H19" s="10">
        <f>Таблица1[[#This Row],[Оценка вероятности возникновения риска]]*Таблица1[[#This Row],[Оценка силы воздействия риска]]</f>
        <v>0.2</v>
      </c>
      <c r="I19" s="58" t="inlineStr">
        <is>
          <t xml:space="preserve">Снижение + передача. RLS по воркспейсу, шифрование, песочница без сети, сканирование зависимостей, пентест; страхование киберрисков. Ответственный: Бэкенд-разработчик 1.</t>
        </is>
      </c>
    </row>
    <row r="20" ht="78" customHeight="1" spans="1:16" x14ac:dyDescent="0.35">
      <c r="A20" s="10">
        <v>17</v>
      </c>
      <c r="B20" s="10" t="str">
        <f>"R "&amp;Таблица1[[#This Row],[Номер риска]]&amp;" "</f>
        <v xml:space="preserve">R 17 </v>
      </c>
      <c r="C20" s="58" t="inlineStr">
        <is>
          <t xml:space="preserve">Prompt injection через содержимое ячеек и текста документа</t>
        </is>
      </c>
      <c r="D20" s="58" t="inlineStr">
        <is>
          <t xml:space="preserve">Среднее — искажённые планы агента, утечка системного промпта</t>
        </is>
      </c>
      <c r="E20" s="58" t="inlineStr">
        <is>
          <t xml:space="preserve">Внедрённые инструкции из тестового набора проходят фильтр</t>
        </is>
      </c>
      <c r="F20" s="10">
        <v>0.2</v>
      </c>
      <c r="G20" s="10">
        <v>0.6</v>
      </c>
      <c r="H20" s="10">
        <f>Таблица1[[#This Row],[Оценка вероятности возникновения риска]]*Таблица1[[#This Row],[Оценка силы воздействия риска]]</f>
        <v>0.12</v>
      </c>
      <c r="I20" s="58" t="inlineStr">
        <is>
          <t xml:space="preserve">Снижение. Данные в помеченных блоках, у агента нет инструментов с внешними эффектами, верификация каждого плана. Ответственный: ML/LLM-инженер.</t>
        </is>
      </c>
    </row>
    <row r="21" ht="78" customHeight="1" spans="1:16" x14ac:dyDescent="0.35">
      <c r="A21" s="10">
        <v>18</v>
      </c>
      <c r="B21" s="10" t="str">
        <f>"R "&amp;Таблица1[[#This Row],[Номер риска]]&amp;" "</f>
        <v xml:space="preserve">R 18 </v>
      </c>
      <c r="C21" s="58" t="inlineStr">
        <is>
          <t xml:space="preserve">Искажение структуры, стилей или диаграмм xlsx при экспорте исправленного файла</t>
        </is>
      </c>
      <c r="D21" s="58" t="inlineStr">
        <is>
          <t xml:space="preserve">Среднее — пользователь получает повреждённую книгу, потеря доверия к исправлениям</t>
        </is>
      </c>
      <c r="E21" s="58" t="inlineStr">
        <is>
          <t xml:space="preserve">Регрессионный тест «до/после экспорта» показывает отличия вне исправленных ячеек</t>
        </is>
      </c>
      <c r="F21" s="10">
        <v>0.4</v>
      </c>
      <c r="G21" s="10">
        <v>0.5</v>
      </c>
      <c r="H21" s="10">
        <f>Таблица1[[#This Row],[Оценка вероятности возникновения риска]]*Таблица1[[#This Row],[Оценка силы воздействия риска]]</f>
        <v>0.2</v>
      </c>
      <c r="I21" s="58" t="inlineStr">
        <is>
          <t xml:space="preserve">Снижение. Точечная правка XML внутри исходного пакета xlsx вместо пересохранения; регрессионный тест экспорта; проверка открытия в Excel для Windows, Mac и веб. Ответственный: Бэкенд-разработчик 1.</t>
        </is>
      </c>
    </row>
    <row r="22" ht="78" customHeight="1" spans="1:16" x14ac:dyDescent="0.35">
      <c r="A22" s="10">
        <v>19</v>
      </c>
      <c r="B22" s="10" t="str">
        <f>"R "&amp;Таблица1[[#This Row],[Номер риска]]&amp;" "</f>
        <v xml:space="preserve">R 19 </v>
      </c>
      <c r="C22" s="58" t="inlineStr">
        <is>
          <t xml:space="preserve">Временная недоступность провайдера LLM</t>
        </is>
      </c>
      <c r="D22" s="58" t="inlineStr">
        <is>
          <t xml:space="preserve">Низкое — нет AI-объяснений и исправлений на время сбоя</t>
        </is>
      </c>
      <c r="E22" s="58" t="inlineStr">
        <is>
          <t xml:space="preserve">Ошибки или таймауты API &gt; 5% за час</t>
        </is>
      </c>
      <c r="F22" s="10">
        <v>0.4</v>
      </c>
      <c r="G22" s="10">
        <v>0.3</v>
      </c>
      <c r="H22" s="10">
        <f>Таблица1[[#This Row],[Оценка вероятности возникновения риска]]*Таблица1[[#This Row],[Оценка силы воздействия риска]]</f>
        <v>0.12</v>
      </c>
      <c r="I22" s="58" t="inlineStr">
        <is>
          <t xml:space="preserve">Принятие. Проверки работают без LLM; шаблонные объяснения из каталога правил; переключение провайдера в gateway. Ответственный: ML/LLM-инженер.</t>
        </is>
      </c>
    </row>
  </sheetData>
  <conditionalFormatting sqref="A19:I22 D4:E8 H4:I8 A4:B18 D9:I18">
    <cfRule type="expression" dxfId="23" priority="6">
      <formula>$H4&gt;0.505</formula>
    </cfRule>
  </conditionalFormatting>
  <conditionalFormatting sqref="A19:I22 D4:E8 H4:I8 A4:B18 D9:I18">
    <cfRule type="expression" dxfId="22" priority="5">
      <formula>AND($H4&lt;0.14,$H4&gt;0)</formula>
    </cfRule>
  </conditionalFormatting>
  <conditionalFormatting sqref="A19:I22 D4:E8 H4:I8 A4:B18 D9:I18">
    <cfRule type="expression" dxfId="21" priority="1">
      <formula>AND($H4&lt;=0.505,$H4&gt;=0.14)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"/>
  <sheetViews>
    <sheetView workbookViewId="0">
      <selection activeCell="O29" sqref="O29"/>
    </sheetView>
  </sheetViews>
  <sheetFormatPr defaultColWidth="8.7265625" defaultRowHeight="14.5" x14ac:dyDescent="0.35"/>
  <cols>
    <col min="1" max="1" width="4.7265625" style="6" customWidth="1"/>
    <col min="2" max="2" width="6.81640625" style="6" customWidth="1"/>
    <col min="3" max="12" width="9.7265625" style="6" customWidth="1"/>
    <col min="13" max="13" width="5.7265625" style="6" customWidth="1"/>
    <col min="14" max="14" width="8.7265625" style="6"/>
    <col min="15" max="15" width="20.453125" style="6" customWidth="1"/>
    <col min="16" max="16" width="22" style="6" customWidth="1"/>
    <col min="17" max="17" width="21.26953125" style="6" customWidth="1"/>
    <col min="18" max="16384" width="8.7265625" style="6"/>
  </cols>
  <sheetData>
    <row r="1" spans="1:25" ht="15.5" x14ac:dyDescent="0.35">
      <c r="A1" s="12" t="str">
        <f>"Карта рисков для проекта "&amp;'Таблица с рисками'!C1</f>
        <v xml:space="preserve">Карта рисков для проекта </v>
      </c>
    </row>
    <row r="2" spans="1:25" ht="15.5" x14ac:dyDescent="0.35">
      <c r="A2" s="12"/>
    </row>
    <row r="3" spans="1:25" x14ac:dyDescent="0.35">
      <c r="A3" s="6" t="s">
        <v>14</v>
      </c>
    </row>
    <row r="5" spans="1:25" x14ac:dyDescent="0.35">
      <c r="K5" s="6" t="s">
        <v>15</v>
      </c>
    </row>
    <row r="6" spans="1:25" x14ac:dyDescent="0.35">
      <c r="K6" s="6" t="s">
        <v>16</v>
      </c>
    </row>
    <row r="7" spans="1:25" x14ac:dyDescent="0.35">
      <c r="K7" s="6" t="s">
        <v>17</v>
      </c>
    </row>
    <row r="8" spans="1:25" x14ac:dyDescent="0.35">
      <c r="K8" s="6" t="s">
        <v>18</v>
      </c>
    </row>
    <row r="9" spans="1:25" x14ac:dyDescent="0.35">
      <c r="K9" s="6" t="s">
        <v>19</v>
      </c>
    </row>
    <row r="14" spans="1:25" x14ac:dyDescent="0.35"/>
    <row r="22" spans="1:24" x14ac:dyDescent="0.35"/>
    <row r="23" spans="1:24" x14ac:dyDescent="0.35"/>
    <row r="25" spans="1:24" x14ac:dyDescent="0.35">
      <c r="A25" s="6" t="s">
        <v>20</v>
      </c>
    </row>
    <row r="27" spans="1:24" ht="47.5" customHeight="1" x14ac:dyDescent="0.35">
      <c r="A27" s="56" t="s">
        <v>11</v>
      </c>
      <c r="B27" s="13" t="s">
        <v>21</v>
      </c>
      <c r="C27" s="14"/>
      <c r="D27" s="14"/>
      <c r="E27" s="15"/>
      <c r="F27" s="15"/>
      <c r="J27" s="10"/>
      <c r="K27" s="10"/>
    </row>
    <row r="28" spans="1:24" ht="47.5" customHeight="1" x14ac:dyDescent="0.35">
      <c r="A28" s="56"/>
      <c r="B28" s="13" t="s">
        <v>22</v>
      </c>
      <c r="C28" s="14"/>
      <c r="D28" s="14"/>
      <c r="E28" s="14"/>
      <c r="F28" s="15"/>
      <c r="H28" s="16"/>
      <c r="I28" s="17" t="s">
        <v>23</v>
      </c>
      <c r="J28" s="10"/>
      <c r="K28" s="10"/>
    </row>
    <row r="29" spans="1:24" ht="47.5" customHeight="1" x14ac:dyDescent="0.35">
      <c r="A29" s="56"/>
      <c r="B29" s="13" t="s">
        <v>24</v>
      </c>
      <c r="C29" s="18"/>
      <c r="D29" s="14"/>
      <c r="E29" s="14"/>
      <c r="F29" s="14"/>
      <c r="H29" s="19"/>
      <c r="I29" s="17" t="s">
        <v>25</v>
      </c>
      <c r="J29" s="10"/>
      <c r="K29" s="10"/>
    </row>
    <row r="30" spans="1:24" ht="47.5" customHeight="1" x14ac:dyDescent="0.35">
      <c r="A30" s="56"/>
      <c r="B30" s="13" t="s">
        <v>26</v>
      </c>
      <c r="C30" s="18"/>
      <c r="D30" s="18"/>
      <c r="E30" s="14"/>
      <c r="F30" s="14"/>
      <c r="H30" s="20"/>
      <c r="I30" s="17" t="s">
        <v>27</v>
      </c>
      <c r="J30" s="10"/>
      <c r="K30" s="10"/>
    </row>
    <row r="31" spans="1:24" ht="47.5" customHeight="1" x14ac:dyDescent="0.35">
      <c r="A31" s="56"/>
      <c r="B31" s="13">
        <v>0</v>
      </c>
      <c r="C31" s="13" t="s">
        <v>28</v>
      </c>
      <c r="D31" s="13" t="s">
        <v>29</v>
      </c>
      <c r="E31" s="13" t="s">
        <v>22</v>
      </c>
      <c r="F31" s="13" t="s">
        <v>30</v>
      </c>
    </row>
    <row r="32" spans="1:24" ht="25" customHeight="1" x14ac:dyDescent="0.35">
      <c r="A32" s="21"/>
      <c r="B32" s="57" t="s">
        <v>10</v>
      </c>
      <c r="C32" s="57"/>
      <c r="D32" s="57"/>
      <c r="E32" s="57"/>
      <c r="F32" s="57"/>
    </row>
    <row r="33" spans="1:16" ht="25" customHeight="1" x14ac:dyDescent="0.35">
      <c r="B33" s="21"/>
      <c r="C33" s="22"/>
      <c r="D33" s="22"/>
      <c r="E33" s="22"/>
      <c r="F33" s="22"/>
      <c r="G33" s="22"/>
    </row>
    <row r="34" spans="1:16" ht="25" customHeight="1" x14ac:dyDescent="0.35">
      <c r="B34" s="21"/>
      <c r="C34" s="22"/>
      <c r="D34" s="22"/>
      <c r="E34" s="22"/>
      <c r="F34" s="22"/>
      <c r="G34" s="22"/>
    </row>
    <row r="35" spans="1:16" x14ac:dyDescent="0.35">
      <c r="A35" s="56" t="s">
        <v>11</v>
      </c>
      <c r="B35" s="6">
        <v>1</v>
      </c>
      <c r="C35" s="23"/>
      <c r="D35" s="24"/>
      <c r="E35" s="24"/>
      <c r="F35" s="24"/>
      <c r="G35" s="24"/>
      <c r="H35" s="25"/>
      <c r="I35" s="25"/>
      <c r="J35" s="25"/>
      <c r="K35" s="25"/>
      <c r="L35" s="25"/>
    </row>
    <row r="36" spans="1:16" ht="14.5" customHeight="1" x14ac:dyDescent="0.35">
      <c r="A36" s="56"/>
      <c r="B36" s="6">
        <v>0.9</v>
      </c>
      <c r="C36" s="18"/>
      <c r="D36" s="26"/>
      <c r="E36" s="26"/>
      <c r="F36" s="26"/>
      <c r="G36" s="26"/>
      <c r="H36" s="15"/>
      <c r="I36" s="15"/>
      <c r="J36" s="15"/>
      <c r="K36" s="15"/>
      <c r="L36" s="15"/>
      <c r="P36" s="10" t="s">
        <v>12</v>
      </c>
    </row>
    <row r="37" spans="1:16" x14ac:dyDescent="0.35">
      <c r="A37" s="56"/>
      <c r="B37" s="6">
        <v>0.8</v>
      </c>
      <c r="C37" s="18"/>
      <c r="D37" s="26"/>
      <c r="E37" s="26"/>
      <c r="F37" s="26"/>
      <c r="G37" s="26"/>
      <c r="H37" s="26"/>
      <c r="I37" s="15"/>
      <c r="J37" s="15"/>
      <c r="K37" s="15"/>
      <c r="L37" s="15"/>
      <c r="N37" s="16"/>
      <c r="O37" s="10" t="s">
        <v>23</v>
      </c>
      <c r="P37" s="10" t="s">
        <v>31</v>
      </c>
    </row>
    <row r="38" spans="1:16" ht="14.5" customHeight="1" x14ac:dyDescent="0.35">
      <c r="A38" s="56"/>
      <c r="B38" s="6">
        <v>0.7</v>
      </c>
      <c r="C38" s="18"/>
      <c r="D38" s="26"/>
      <c r="E38" s="26"/>
      <c r="F38" s="26"/>
      <c r="G38" s="26"/>
      <c r="H38" s="26"/>
      <c r="I38" s="26"/>
      <c r="J38" s="15"/>
      <c r="K38" s="15"/>
      <c r="L38" s="15"/>
      <c r="N38" s="19"/>
      <c r="O38" s="10" t="s">
        <v>25</v>
      </c>
      <c r="P38" s="10" t="s">
        <v>32</v>
      </c>
    </row>
    <row r="39" spans="1:16" x14ac:dyDescent="0.35">
      <c r="A39" s="56"/>
      <c r="B39" s="6">
        <v>0.6</v>
      </c>
      <c r="C39" s="18"/>
      <c r="D39" s="18"/>
      <c r="E39" s="26"/>
      <c r="F39" s="26"/>
      <c r="G39" s="26"/>
      <c r="H39" s="26"/>
      <c r="I39" s="26"/>
      <c r="J39" s="26"/>
      <c r="K39" s="15"/>
      <c r="L39" s="15"/>
      <c r="N39" s="20"/>
      <c r="O39" s="10" t="s">
        <v>27</v>
      </c>
      <c r="P39" s="10" t="s">
        <v>33</v>
      </c>
    </row>
    <row r="40" spans="1:16" x14ac:dyDescent="0.35">
      <c r="A40" s="56"/>
      <c r="B40" s="6">
        <v>0.5</v>
      </c>
      <c r="C40" s="18"/>
      <c r="D40" s="18"/>
      <c r="E40" s="26"/>
      <c r="F40" s="26"/>
      <c r="G40" s="26"/>
      <c r="H40" s="26"/>
      <c r="I40" s="26"/>
      <c r="J40" s="26"/>
      <c r="K40" s="26"/>
      <c r="L40" s="26"/>
    </row>
    <row r="41" spans="1:16" x14ac:dyDescent="0.35">
      <c r="A41" s="56"/>
      <c r="B41" s="6">
        <v>0.4</v>
      </c>
      <c r="C41" s="18"/>
      <c r="D41" s="18"/>
      <c r="E41" s="18"/>
      <c r="F41" s="26"/>
      <c r="G41" s="26"/>
      <c r="H41" s="26"/>
      <c r="I41" s="26"/>
      <c r="J41" s="26"/>
      <c r="K41" s="26"/>
      <c r="L41" s="26"/>
    </row>
    <row r="42" spans="1:16" x14ac:dyDescent="0.35">
      <c r="A42" s="56"/>
      <c r="B42" s="6">
        <v>0.3</v>
      </c>
      <c r="C42" s="18"/>
      <c r="D42" s="18"/>
      <c r="E42" s="18"/>
      <c r="F42" s="18"/>
      <c r="G42" s="26"/>
      <c r="H42" s="26"/>
      <c r="I42" s="26"/>
      <c r="J42" s="26"/>
      <c r="K42" s="26"/>
      <c r="L42" s="26"/>
    </row>
    <row r="43" spans="1:16" x14ac:dyDescent="0.35">
      <c r="A43" s="56"/>
      <c r="B43" s="6">
        <v>0.2</v>
      </c>
      <c r="C43" s="18"/>
      <c r="D43" s="18"/>
      <c r="E43" s="18"/>
      <c r="F43" s="18"/>
      <c r="G43" s="18"/>
      <c r="H43" s="18"/>
      <c r="I43" s="26"/>
      <c r="J43" s="26"/>
      <c r="K43" s="26"/>
      <c r="L43" s="26"/>
    </row>
    <row r="44" spans="1:16" x14ac:dyDescent="0.35">
      <c r="A44" s="56"/>
      <c r="B44" s="6">
        <v>0.1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6" x14ac:dyDescent="0.35">
      <c r="B45" s="6">
        <v>0</v>
      </c>
      <c r="C45" s="6">
        <v>0.1</v>
      </c>
      <c r="D45" s="6">
        <v>0.2</v>
      </c>
      <c r="E45" s="6">
        <v>0.3</v>
      </c>
      <c r="F45" s="6">
        <v>0.4</v>
      </c>
      <c r="G45" s="6">
        <v>0.5</v>
      </c>
      <c r="H45" s="6">
        <v>0.6</v>
      </c>
      <c r="I45" s="6">
        <v>0.7</v>
      </c>
      <c r="J45" s="6">
        <v>0.8</v>
      </c>
      <c r="K45" s="6">
        <v>0.9</v>
      </c>
      <c r="L45" s="6">
        <v>1</v>
      </c>
    </row>
    <row r="46" spans="1:16" ht="25" customHeight="1" x14ac:dyDescent="0.35">
      <c r="E46" s="55" t="s">
        <v>10</v>
      </c>
      <c r="F46" s="55"/>
      <c r="G46" s="55"/>
      <c r="H46" s="55"/>
      <c r="I46" s="55"/>
    </row>
    <row r="47" spans="1:16" ht="25" customHeight="1" x14ac:dyDescent="0.35">
      <c r="A47" s="6" t="s">
        <v>34</v>
      </c>
    </row>
    <row r="48" spans="1:16" ht="25" customHeight="1" x14ac:dyDescent="0.35"/>
    <row r="49" spans="1:16" ht="25" customHeight="1" x14ac:dyDescent="0.35">
      <c r="A49" s="56" t="s">
        <v>11</v>
      </c>
      <c r="B49" s="6">
        <v>1</v>
      </c>
      <c r="C49" s="27">
        <f t="shared" ref="C49:L58" si="0">$B49*C$59</f>
        <v>0.1</v>
      </c>
      <c r="D49" s="27">
        <f t="shared" si="0"/>
        <v>0.2</v>
      </c>
      <c r="E49" s="27">
        <f t="shared" si="0"/>
        <v>0.3</v>
      </c>
      <c r="F49" s="27">
        <f t="shared" si="0"/>
        <v>0.4</v>
      </c>
      <c r="G49" s="27">
        <f t="shared" si="0"/>
        <v>0.5</v>
      </c>
      <c r="H49" s="27">
        <f t="shared" si="0"/>
        <v>0.6</v>
      </c>
      <c r="I49" s="27">
        <f t="shared" si="0"/>
        <v>0.7</v>
      </c>
      <c r="J49" s="27">
        <f t="shared" si="0"/>
        <v>0.8</v>
      </c>
      <c r="K49" s="27">
        <f t="shared" si="0"/>
        <v>0.9</v>
      </c>
      <c r="L49" s="27">
        <f t="shared" si="0"/>
        <v>1</v>
      </c>
    </row>
    <row r="50" spans="1:16" ht="25" customHeight="1" x14ac:dyDescent="0.35">
      <c r="A50" s="56"/>
      <c r="B50" s="6">
        <v>0.9</v>
      </c>
      <c r="C50" s="27">
        <f t="shared" si="0"/>
        <v>9.0000000000000011E-2</v>
      </c>
      <c r="D50" s="27">
        <f t="shared" si="0"/>
        <v>0.18000000000000002</v>
      </c>
      <c r="E50" s="27">
        <f t="shared" si="0"/>
        <v>0.27</v>
      </c>
      <c r="F50" s="27">
        <f t="shared" si="0"/>
        <v>0.36000000000000004</v>
      </c>
      <c r="G50" s="27">
        <f t="shared" si="0"/>
        <v>0.45</v>
      </c>
      <c r="H50" s="27">
        <f t="shared" si="0"/>
        <v>0.54</v>
      </c>
      <c r="I50" s="27">
        <f t="shared" si="0"/>
        <v>0.63</v>
      </c>
      <c r="J50" s="27">
        <f t="shared" si="0"/>
        <v>0.72000000000000008</v>
      </c>
      <c r="K50" s="27">
        <f t="shared" si="0"/>
        <v>0.81</v>
      </c>
      <c r="L50" s="27">
        <f t="shared" si="0"/>
        <v>0.9</v>
      </c>
      <c r="P50" s="10" t="s">
        <v>12</v>
      </c>
    </row>
    <row r="51" spans="1:16" ht="25" customHeight="1" x14ac:dyDescent="0.35">
      <c r="A51" s="56"/>
      <c r="B51" s="6">
        <v>0.8</v>
      </c>
      <c r="C51" s="27">
        <f t="shared" si="0"/>
        <v>8.0000000000000016E-2</v>
      </c>
      <c r="D51" s="27">
        <f t="shared" si="0"/>
        <v>0.16000000000000003</v>
      </c>
      <c r="E51" s="27">
        <f t="shared" si="0"/>
        <v>0.24</v>
      </c>
      <c r="F51" s="27">
        <f t="shared" si="0"/>
        <v>0.32000000000000006</v>
      </c>
      <c r="G51" s="27">
        <f>$B51*G$59</f>
        <v>0.4</v>
      </c>
      <c r="H51" s="27">
        <f t="shared" si="0"/>
        <v>0.48</v>
      </c>
      <c r="I51" s="27">
        <f t="shared" si="0"/>
        <v>0.55999999999999994</v>
      </c>
      <c r="J51" s="27">
        <f t="shared" si="0"/>
        <v>0.64000000000000012</v>
      </c>
      <c r="K51" s="27">
        <f t="shared" si="0"/>
        <v>0.72000000000000008</v>
      </c>
      <c r="L51" s="27">
        <f t="shared" si="0"/>
        <v>0.8</v>
      </c>
      <c r="N51" s="16"/>
      <c r="O51" s="10" t="s">
        <v>23</v>
      </c>
      <c r="P51" s="10" t="s">
        <v>31</v>
      </c>
    </row>
    <row r="52" spans="1:16" ht="24.65" customHeight="1" x14ac:dyDescent="0.35">
      <c r="A52" s="56"/>
      <c r="B52" s="6">
        <v>0.7</v>
      </c>
      <c r="C52" s="27">
        <f t="shared" si="0"/>
        <v>6.9999999999999993E-2</v>
      </c>
      <c r="D52" s="27">
        <f t="shared" si="0"/>
        <v>0.13999999999999999</v>
      </c>
      <c r="E52" s="27">
        <f t="shared" si="0"/>
        <v>0.21</v>
      </c>
      <c r="F52" s="27">
        <f t="shared" si="0"/>
        <v>0.27999999999999997</v>
      </c>
      <c r="G52" s="27">
        <f t="shared" si="0"/>
        <v>0.35</v>
      </c>
      <c r="H52" s="27">
        <f t="shared" si="0"/>
        <v>0.42</v>
      </c>
      <c r="I52" s="27">
        <f t="shared" si="0"/>
        <v>0.48999999999999994</v>
      </c>
      <c r="J52" s="27">
        <f t="shared" si="0"/>
        <v>0.55999999999999994</v>
      </c>
      <c r="K52" s="27">
        <f t="shared" si="0"/>
        <v>0.63</v>
      </c>
      <c r="L52" s="27">
        <f t="shared" si="0"/>
        <v>0.7</v>
      </c>
      <c r="N52" s="19"/>
      <c r="O52" s="10" t="s">
        <v>25</v>
      </c>
      <c r="P52" s="10" t="s">
        <v>32</v>
      </c>
    </row>
    <row r="53" spans="1:16" x14ac:dyDescent="0.35">
      <c r="A53" s="56"/>
      <c r="B53" s="6">
        <v>0.6</v>
      </c>
      <c r="C53" s="27">
        <f t="shared" si="0"/>
        <v>0.06</v>
      </c>
      <c r="D53" s="27">
        <f t="shared" si="0"/>
        <v>0.12</v>
      </c>
      <c r="E53" s="27">
        <f t="shared" si="0"/>
        <v>0.18</v>
      </c>
      <c r="F53" s="27">
        <f t="shared" si="0"/>
        <v>0.24</v>
      </c>
      <c r="G53" s="27">
        <f t="shared" si="0"/>
        <v>0.3</v>
      </c>
      <c r="H53" s="27">
        <f t="shared" si="0"/>
        <v>0.36</v>
      </c>
      <c r="I53" s="27">
        <f t="shared" si="0"/>
        <v>0.42</v>
      </c>
      <c r="J53" s="27">
        <f t="shared" si="0"/>
        <v>0.48</v>
      </c>
      <c r="K53" s="27">
        <f t="shared" si="0"/>
        <v>0.54</v>
      </c>
      <c r="L53" s="27">
        <f t="shared" si="0"/>
        <v>0.6</v>
      </c>
      <c r="N53" s="20"/>
      <c r="O53" s="10" t="s">
        <v>27</v>
      </c>
      <c r="P53" s="10" t="s">
        <v>33</v>
      </c>
    </row>
    <row r="54" spans="1:16" x14ac:dyDescent="0.35">
      <c r="A54" s="56"/>
      <c r="B54" s="6">
        <v>0.5</v>
      </c>
      <c r="C54" s="27">
        <f t="shared" si="0"/>
        <v>0.05</v>
      </c>
      <c r="D54" s="27">
        <f t="shared" si="0"/>
        <v>0.1</v>
      </c>
      <c r="E54" s="27">
        <f t="shared" si="0"/>
        <v>0.15</v>
      </c>
      <c r="F54" s="27">
        <f t="shared" si="0"/>
        <v>0.2</v>
      </c>
      <c r="G54" s="27">
        <f t="shared" si="0"/>
        <v>0.25</v>
      </c>
      <c r="H54" s="27">
        <f t="shared" si="0"/>
        <v>0.3</v>
      </c>
      <c r="I54" s="27">
        <f t="shared" si="0"/>
        <v>0.35</v>
      </c>
      <c r="J54" s="27">
        <f t="shared" si="0"/>
        <v>0.4</v>
      </c>
      <c r="K54" s="27">
        <f t="shared" si="0"/>
        <v>0.45</v>
      </c>
      <c r="L54" s="27">
        <f t="shared" si="0"/>
        <v>0.5</v>
      </c>
    </row>
    <row r="55" spans="1:16" x14ac:dyDescent="0.35">
      <c r="A55" s="56"/>
      <c r="B55" s="6">
        <v>0.4</v>
      </c>
      <c r="C55" s="27">
        <f t="shared" si="0"/>
        <v>4.0000000000000008E-2</v>
      </c>
      <c r="D55" s="27">
        <f t="shared" si="0"/>
        <v>8.0000000000000016E-2</v>
      </c>
      <c r="E55" s="27">
        <f t="shared" si="0"/>
        <v>0.12</v>
      </c>
      <c r="F55" s="27">
        <f t="shared" si="0"/>
        <v>0.16000000000000003</v>
      </c>
      <c r="G55" s="27">
        <f t="shared" si="0"/>
        <v>0.2</v>
      </c>
      <c r="H55" s="27">
        <f t="shared" si="0"/>
        <v>0.24</v>
      </c>
      <c r="I55" s="27">
        <f t="shared" si="0"/>
        <v>0.27999999999999997</v>
      </c>
      <c r="J55" s="27">
        <f t="shared" si="0"/>
        <v>0.32000000000000006</v>
      </c>
      <c r="K55" s="27">
        <f t="shared" si="0"/>
        <v>0.36000000000000004</v>
      </c>
      <c r="L55" s="27">
        <f t="shared" si="0"/>
        <v>0.4</v>
      </c>
    </row>
    <row r="56" spans="1:16" x14ac:dyDescent="0.35">
      <c r="A56" s="56"/>
      <c r="B56" s="6">
        <v>0.3</v>
      </c>
      <c r="C56" s="27">
        <f t="shared" si="0"/>
        <v>0.03</v>
      </c>
      <c r="D56" s="27">
        <f t="shared" si="0"/>
        <v>0.06</v>
      </c>
      <c r="E56" s="27">
        <f t="shared" si="0"/>
        <v>0.09</v>
      </c>
      <c r="F56" s="27">
        <f t="shared" si="0"/>
        <v>0.12</v>
      </c>
      <c r="G56" s="27">
        <f t="shared" si="0"/>
        <v>0.15</v>
      </c>
      <c r="H56" s="27">
        <f t="shared" si="0"/>
        <v>0.18</v>
      </c>
      <c r="I56" s="27">
        <f t="shared" si="0"/>
        <v>0.21</v>
      </c>
      <c r="J56" s="27">
        <f t="shared" si="0"/>
        <v>0.24</v>
      </c>
      <c r="K56" s="27">
        <f t="shared" si="0"/>
        <v>0.27</v>
      </c>
      <c r="L56" s="27">
        <f t="shared" si="0"/>
        <v>0.3</v>
      </c>
    </row>
    <row r="57" spans="1:16" x14ac:dyDescent="0.35">
      <c r="A57" s="56"/>
      <c r="B57" s="6">
        <v>0.2</v>
      </c>
      <c r="C57" s="27">
        <f t="shared" si="0"/>
        <v>2.0000000000000004E-2</v>
      </c>
      <c r="D57" s="27">
        <f t="shared" si="0"/>
        <v>4.0000000000000008E-2</v>
      </c>
      <c r="E57" s="27">
        <f t="shared" si="0"/>
        <v>0.06</v>
      </c>
      <c r="F57" s="27">
        <f t="shared" si="0"/>
        <v>8.0000000000000016E-2</v>
      </c>
      <c r="G57" s="27">
        <f t="shared" si="0"/>
        <v>0.1</v>
      </c>
      <c r="H57" s="27">
        <f t="shared" si="0"/>
        <v>0.12</v>
      </c>
      <c r="I57" s="27">
        <f t="shared" si="0"/>
        <v>0.13999999999999999</v>
      </c>
      <c r="J57" s="27">
        <f t="shared" si="0"/>
        <v>0.16000000000000003</v>
      </c>
      <c r="K57" s="27">
        <f t="shared" si="0"/>
        <v>0.18000000000000002</v>
      </c>
      <c r="L57" s="27">
        <f t="shared" si="0"/>
        <v>0.2</v>
      </c>
    </row>
    <row r="58" spans="1:16" x14ac:dyDescent="0.35">
      <c r="A58" s="56"/>
      <c r="B58" s="6">
        <v>0.1</v>
      </c>
      <c r="C58" s="27">
        <f t="shared" si="0"/>
        <v>1.0000000000000002E-2</v>
      </c>
      <c r="D58" s="27">
        <f t="shared" si="0"/>
        <v>2.0000000000000004E-2</v>
      </c>
      <c r="E58" s="27">
        <f t="shared" si="0"/>
        <v>0.03</v>
      </c>
      <c r="F58" s="27">
        <f t="shared" si="0"/>
        <v>4.0000000000000008E-2</v>
      </c>
      <c r="G58" s="27">
        <f t="shared" si="0"/>
        <v>0.05</v>
      </c>
      <c r="H58" s="27">
        <f t="shared" si="0"/>
        <v>0.06</v>
      </c>
      <c r="I58" s="27">
        <f t="shared" si="0"/>
        <v>6.9999999999999993E-2</v>
      </c>
      <c r="J58" s="27">
        <f t="shared" si="0"/>
        <v>8.0000000000000016E-2</v>
      </c>
      <c r="K58" s="27">
        <f t="shared" si="0"/>
        <v>9.0000000000000011E-2</v>
      </c>
      <c r="L58" s="27">
        <f t="shared" si="0"/>
        <v>0.1</v>
      </c>
    </row>
    <row r="59" spans="1:16" x14ac:dyDescent="0.35">
      <c r="B59" s="6">
        <v>0</v>
      </c>
      <c r="C59" s="6">
        <v>0.1</v>
      </c>
      <c r="D59" s="6">
        <v>0.2</v>
      </c>
      <c r="E59" s="6">
        <v>0.3</v>
      </c>
      <c r="F59" s="6">
        <v>0.4</v>
      </c>
      <c r="G59" s="6">
        <v>0.5</v>
      </c>
      <c r="H59" s="6">
        <v>0.6</v>
      </c>
      <c r="I59" s="6">
        <v>0.7</v>
      </c>
      <c r="J59" s="6">
        <v>0.8</v>
      </c>
      <c r="K59" s="6">
        <v>0.9</v>
      </c>
      <c r="L59" s="6">
        <v>1</v>
      </c>
    </row>
    <row r="60" spans="1:16" x14ac:dyDescent="0.35">
      <c r="E60" s="55" t="s">
        <v>10</v>
      </c>
      <c r="F60" s="55"/>
      <c r="G60" s="55"/>
      <c r="H60" s="55"/>
      <c r="I60" s="55"/>
    </row>
  </sheetData>
  <mergeCells count="6">
    <mergeCell ref="E60:I60"/>
    <mergeCell ref="A27:A31"/>
    <mergeCell ref="B32:F32"/>
    <mergeCell ref="A35:A44"/>
    <mergeCell ref="E46:I46"/>
    <mergeCell ref="A49:A58"/>
  </mergeCells>
  <conditionalFormatting sqref="C49:L58">
    <cfRule type="cellIs" dxfId="2" priority="6" operator="greaterThan">
      <formula>0.505</formula>
    </cfRule>
  </conditionalFormatting>
  <conditionalFormatting sqref="C49:L58">
    <cfRule type="cellIs" dxfId="1" priority="5" operator="between">
      <formula>0.14</formula>
      <formula>0.505</formula>
    </cfRule>
  </conditionalFormatting>
  <conditionalFormatting sqref="C49:L58">
    <cfRule type="cellIs" dxfId="0" priority="4" operator="lessThan">
      <formula>0.14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Приветствие</vt:lpstr>
      <vt:lpstr>Таблица с рисками</vt:lpstr>
      <vt:lpstr>Карта рисков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</cp:lastModifiedBy>
  <cp:revision>1</cp:revision>
  <dcterms:created xsi:type="dcterms:W3CDTF">2015-06-05T18:19:34Z</dcterms:created>
  <dcterms:modified xsi:type="dcterms:W3CDTF">2026-07-21T06:36:00Z</dcterms:modified>
</cp:coreProperties>
</file>
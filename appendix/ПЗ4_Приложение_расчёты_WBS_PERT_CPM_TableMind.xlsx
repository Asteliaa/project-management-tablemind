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" sheetId="1" state="visible" r:id="rId3"/>
    <sheet name="Длительности (PERT)" sheetId="2" state="visible" r:id="rId4"/>
    <sheet name="Взаимосвязи" sheetId="3" state="visible" r:id="rId5"/>
    <sheet name="Расчёт CPM" sheetId="4" state="visible" r:id="rId6"/>
    <sheet name="Диаграмма Ганта" sheetId="5" state="visible" r:id="rId7"/>
    <sheet name="Гант (рисунок)" sheetId="6" state="visible" r:id="rId8"/>
    <sheet name="Сетевой график (PDM)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<sst xmlns="http://schemas.openxmlformats.org/spreadsheetml/2006/main" count="375" uniqueCount="182">
  <si>
    <t xml:space="preserve">Иерархическая структура работ (WBS) — проект «Разработка AI-сервиса проверки Excel-моделей TableMind»</t>
  </si>
  <si>
    <t xml:space="preserve">Уровень 0 — проект; уровень 1 — 15 укрупнённых работ (коды 1.0–15.0). Цвет — фаза жизненного цикла (группировка для наглядности).</t>
  </si>
  <si>
    <t xml:space="preserve">Код WBS</t>
  </si>
  <si>
    <t xml:space="preserve">Название работы</t>
  </si>
  <si>
    <t xml:space="preserve">Фаза</t>
  </si>
  <si>
    <t xml:space="preserve">Результат (измеримый)</t>
  </si>
  <si>
    <t xml:space="preserve">Ответственный (роль)</t>
  </si>
  <si>
    <t xml:space="preserve">0</t>
  </si>
  <si>
    <t xml:space="preserve">TableMind: Разработка AI-сервиса проверки Excel-моделей TableMind</t>
  </si>
  <si>
    <t xml:space="preserve">—</t>
  </si>
  <si>
    <t xml:space="preserve">Веб-аудит + надстройка Excel выведены на рынок, ≥ 50 платящих</t>
  </si>
  <si>
    <t xml:space="preserve">Владелец продукта / РП</t>
  </si>
  <si>
    <t xml:space="preserve">1.0</t>
  </si>
  <si>
    <t xml:space="preserve">Анализ требований, интервью с пользователями и утверждение ТЗ</t>
  </si>
  <si>
    <t xml:space="preserve">Анализ и планирование</t>
  </si>
  <si>
    <t xml:space="preserve">ТЗ, MoSCoW, KPI, отчёт по 10 интервью</t>
  </si>
  <si>
    <t xml:space="preserve">Руководитель проекта</t>
  </si>
  <si>
    <t xml:space="preserve">2.0</t>
  </si>
  <si>
    <t xml:space="preserve">Юридическое оформление: политика конфиденциальности, условия, DPA</t>
  </si>
  <si>
    <t xml:space="preserve">Опубликованные юридические документы</t>
  </si>
  <si>
    <t xml:space="preserve">3.0</t>
  </si>
  <si>
    <t xml:space="preserve">Проектирование архитектуры, модели данных и API; CI/CD и окружения в ЕС</t>
  </si>
  <si>
    <t xml:space="preserve">Проектирование</t>
  </si>
  <si>
    <t xml:space="preserve">Архитектура, OpenAPI, CI/CD, staging/prod</t>
  </si>
  <si>
    <t xml:space="preserve">Бэкенд-разработчик 1</t>
  </si>
  <si>
    <t xml:space="preserve">4.0</t>
  </si>
  <si>
    <t xml:space="preserve">UX/UI-дизайн в Figma и коридорные тесты</t>
  </si>
  <si>
    <t xml:space="preserve">Макеты загрузки, отчёта, цен, кабинета</t>
  </si>
  <si>
    <t xml:space="preserve">UI/UX-дизайнер</t>
  </si>
  <si>
    <t xml:space="preserve">5.0</t>
  </si>
  <si>
    <t xml:space="preserve">Сбор и разметка eval-набора (реальные, мутационные, чистые модели)</t>
  </si>
  <si>
    <t xml:space="preserve">Eval-набор 100–200 моделей + мутации</t>
  </si>
  <si>
    <t xml:space="preserve">ML/LLM-инженер</t>
  </si>
  <si>
    <t xml:space="preserve">6.0</t>
  </si>
  <si>
    <t xml:space="preserve">Разработка ядра верификации: парсер формул в AST, range graph, 15 правил</t>
  </si>
  <si>
    <t xml:space="preserve">Разработка MVP веб-аудита</t>
  </si>
  <si>
    <t xml:space="preserve">Библиотека движка верификации + CLI</t>
  </si>
  <si>
    <t xml:space="preserve">Бэкенд-разработчик 2</t>
  </si>
  <si>
    <t xml:space="preserve">7.0</t>
  </si>
  <si>
    <t xml:space="preserve">Разработка бэкенда веб-аудита: API, авторизация, загрузка, очереди</t>
  </si>
  <si>
    <t xml:space="preserve">REST/WebSocket API, OAuth, воркеры</t>
  </si>
  <si>
    <t xml:space="preserve">8.0</t>
  </si>
  <si>
    <t xml:space="preserve">Разработка фронтенда веб-аудита и лендинга</t>
  </si>
  <si>
    <t xml:space="preserve">Лендинг, страница отчёта, загрузчик</t>
  </si>
  <si>
    <t xml:space="preserve">Фронтенд-разработчик</t>
  </si>
  <si>
    <t xml:space="preserve">9.0</t>
  </si>
  <si>
    <t xml:space="preserve">Интеграция, тестирование и релиз MVP веб-аудита (закрытая бета)</t>
  </si>
  <si>
    <t xml:space="preserve">MVP веб-аудита у 10–20 пользователей</t>
  </si>
  <si>
    <t xml:space="preserve">QA-инженер</t>
  </si>
  <si>
    <t xml:space="preserve">10.0</t>
  </si>
  <si>
    <t xml:space="preserve">AI-слой: LLM gateway, объяснения, исправления через DSL, сверка текста</t>
  </si>
  <si>
    <t xml:space="preserve">AI-слой и монетизация</t>
  </si>
  <si>
    <t xml:space="preserve">AI-объяснения и исправления с повторной проверкой</t>
  </si>
  <si>
    <t xml:space="preserve">11.0</t>
  </si>
  <si>
    <t xml:space="preserve">Монетизация: тарифы, Stripe, личный кабинет</t>
  </si>
  <si>
    <t xml:space="preserve">Оплата Free / разовый аудит / Pro, кабинет</t>
  </si>
  <si>
    <t xml:space="preserve">12.0</t>
  </si>
  <si>
    <t xml:space="preserve">Надстройка Excel: проверка при правке, ghost-подсказки, Cmd-K</t>
  </si>
  <si>
    <t xml:space="preserve">Надстройка для Excel</t>
  </si>
  <si>
    <t xml:space="preserve">Надстройка Office.js для Windows, Mac, веб</t>
  </si>
  <si>
    <t xml:space="preserve">13.0</t>
  </si>
  <si>
    <t xml:space="preserve">Бета-тестирование v1 с 50 пилотными пользователями и доработка</t>
  </si>
  <si>
    <t xml:space="preserve">Тестирование, запуск и закрытие</t>
  </si>
  <si>
    <t xml:space="preserve">Отчёт беты, исправленные замечания</t>
  </si>
  <si>
    <t xml:space="preserve">14.0</t>
  </si>
  <si>
    <t xml:space="preserve">Комплексное тестирование: AI-eval, безопасность (OWASP), нагрузка</t>
  </si>
  <si>
    <t xml:space="preserve">Протоколы тестов, 0 блокирующих дефектов</t>
  </si>
  <si>
    <t xml:space="preserve">15.0</t>
  </si>
  <si>
    <t xml:space="preserve">Публикация в AppSource, публичный запуск и закрытие проекта</t>
  </si>
  <si>
    <t xml:space="preserve">Релиз v1, отчёт о метриках, план развития</t>
  </si>
  <si>
    <t xml:space="preserve">Схема WBS (дерево):</t>
  </si>
  <si>
    <t xml:space="preserve">Оценка длительности работ методом PERT, месяцы</t>
  </si>
  <si>
    <t xml:space="preserve">Te = (O + 4M + P) / 6; принятая длительность округлена до целого месяца (шаг планировщика — 1 месяц). Жёлтые ячейки O, M, P — экспертные оценки (можно менять, расчёты пересчитаются).</t>
  </si>
  <si>
    <t xml:space="preserve">Код</t>
  </si>
  <si>
    <t xml:space="preserve">Оптимистичная O</t>
  </si>
  <si>
    <t xml:space="preserve">Наиболее вероятная M</t>
  </si>
  <si>
    <t xml:space="preserve">Пессимистичная P</t>
  </si>
  <si>
    <t xml:space="preserve">Te = (O+4M+P)/6</t>
  </si>
  <si>
    <t xml:space="preserve">Принятая длительность, мес.</t>
  </si>
  <si>
    <t xml:space="preserve">Обоснование оценки</t>
  </si>
  <si>
    <t xml:space="preserve">10 интервью с FP&amp;A и консультантами, анализ конкурентов, согласование ТЗ с заказчиком</t>
  </si>
  <si>
    <t xml:space="preserve">Юрист по GDPR и Закону РБ № 99-З; DPA с хостингом и LLM-провайдером</t>
  </si>
  <si>
    <t xml:space="preserve">Модульный монолит, схема PostgreSQL, контракт API; GitHub Actions</t>
  </si>
  <si>
    <t xml:space="preserve">Доработка текущего макета + 5 коридорных тестов страницы отчёта</t>
  </si>
  <si>
    <t xml:space="preserve">Ручная разметка реальных моделей, генерация мутаций, чистый набор для ложных срабатываний</t>
  </si>
  <si>
    <t xml:space="preserve">Самая рискованная часть: крайние случаи xlsx, пересчёт, правила</t>
  </si>
  <si>
    <t xml:space="preserve">FastAPI, OAuth Google/Microsoft, S3 presigned, Redis + Arq</t>
  </si>
  <si>
    <t xml:space="preserve">Next.js по макетам и контракту API (моки из OpenAPI до готовности бэкенда)</t>
  </si>
  <si>
    <t xml:space="preserve">Сборка компонентов, E2E-тесты главного пути, деплой, запуск беты (Gate 2)</t>
  </si>
  <si>
    <t xml:space="preserve">Tool use, DSL правок, повторная верификация каждого плана, сверка чисел в тексте</t>
  </si>
  <si>
    <t xml:space="preserve">Stripe Checkout, НДС ЕС, история файлов, управление подпиской</t>
  </si>
  <si>
    <t xml:space="preserve">Office.js + React + Fluent UI, WebSocket p95 &lt; 500 мс, матрица платформ Excel</t>
  </si>
  <si>
    <t xml:space="preserve">Еженедельные интервью, кнопки «полезно / ложное срабатывание» (Gate 3)</t>
  </si>
  <si>
    <t xml:space="preserve">Precision/recall в CI, OWASP ZAP, k6: 20 одновременных аудитов</t>
  </si>
  <si>
    <t xml:space="preserve">Публикация в AppSource, Product Hunt, SEO-страницы; итоговый отчёт (Gate 4)</t>
  </si>
  <si>
    <t xml:space="preserve">Сумма длительностей (без учёта параллельности)</t>
  </si>
  <si>
    <t xml:space="preserve">Взаимосвязи между работами</t>
  </si>
  <si>
    <t xml:space="preserve">Тип всех связей — «финиш – старт» (FS): работа начинается после завершения всех непосредственных предшественников.</t>
  </si>
  <si>
    <t xml:space="preserve">Код работы</t>
  </si>
  <si>
    <t xml:space="preserve">Непосредственные предшественники</t>
  </si>
  <si>
    <t xml:space="preserve">Последующие работы</t>
  </si>
  <si>
    <t xml:space="preserve">Тип связи</t>
  </si>
  <si>
    <t xml:space="preserve">Вид операции</t>
  </si>
  <si>
    <t xml:space="preserve">2.0, 3.0, 4.0, 5.0</t>
  </si>
  <si>
    <t xml:space="preserve">дробящаяся</t>
  </si>
  <si>
    <t xml:space="preserve">FS</t>
  </si>
  <si>
    <t xml:space="preserve">последовательная</t>
  </si>
  <si>
    <t xml:space="preserve">6.0, 7.0, 8.0</t>
  </si>
  <si>
    <t xml:space="preserve">3.0, 4.0</t>
  </si>
  <si>
    <t xml:space="preserve">слияние</t>
  </si>
  <si>
    <t xml:space="preserve">2.0, 5.0, 6.0, 7.0, 8.0</t>
  </si>
  <si>
    <t xml:space="preserve">10.0, 11.0, 12.0</t>
  </si>
  <si>
    <t xml:space="preserve">слияние, дробящаяся</t>
  </si>
  <si>
    <t xml:space="preserve">Параллельные работы: 2.0, 3.0, 4.0 и 5.0 (после 1.0); 6.0, 7.0 и 8.0 (после 3.0); 10.0, 11.0 и 12.0 (после 9.0).</t>
  </si>
  <si>
    <t xml:space="preserve">Операции слияния: 8.0 (из 3.0, 4.0), 9.0 (из 2.0, 5.0, 6.0, 7.0, 8.0) и 13.0 (из 10.0, 11.0, 12.0).</t>
  </si>
  <si>
    <t xml:space="preserve">Дробящиеся операции: 1.0 (→ 2.0, 3.0, 4.0, 5.0), 3.0 (→ 6.0, 7.0, 8.0) и 9.0 (→ 10.0, 11.0, 12.0).</t>
  </si>
  <si>
    <t xml:space="preserve">Разработка (6.0–8.0) начинается только после проектирования архитектуры и контракта API (3.0); фронтенд — ещё и после дизайна (4.0).</t>
  </si>
  <si>
    <t xml:space="preserve">Расчёт ранних и поздних сроков, резервов и критического пути (метод CPM), месяцы от старта</t>
  </si>
  <si>
    <t xml:space="preserve">ES = МАКС(EF предшественников); EF = ES + D; LF = МИН(LS последователей), для последней работы LF = длительности проекта; LS = LF − D; резерв TS = LS − ES.</t>
  </si>
  <si>
    <t xml:space="preserve">Работа</t>
  </si>
  <si>
    <t xml:space="preserve">Предшественники</t>
  </si>
  <si>
    <t xml:space="preserve">Последователи</t>
  </si>
  <si>
    <t xml:space="preserve">Длительность D</t>
  </si>
  <si>
    <t xml:space="preserve">Ранний старт ES</t>
  </si>
  <si>
    <t xml:space="preserve">Ранний финиш EF</t>
  </si>
  <si>
    <t xml:space="preserve">Поздний старт LS</t>
  </si>
  <si>
    <t xml:space="preserve">Поздний финиш LF</t>
  </si>
  <si>
    <t xml:space="preserve">Резерв TS</t>
  </si>
  <si>
    <t xml:space="preserve">Критический путь</t>
  </si>
  <si>
    <t xml:space="preserve">Длительность проекта (критический путь), мес.</t>
  </si>
  <si>
    <t xml:space="preserve">Дата старта проекта</t>
  </si>
  <si>
    <t xml:space="preserve">Плановая дата завершения</t>
  </si>
  <si>
    <t xml:space="preserve">1.0 → 3.0 → 6.0 → 9.0 → 12.0 → 13.0 → 14.0 → 15.0</t>
  </si>
  <si>
    <t xml:space="preserve">(проверка по формулам — колонка K)</t>
  </si>
  <si>
    <t xml:space="preserve">Диаграмма Ганта проекта TableMind (шаг шкалы — 1 месяц)</t>
  </si>
  <si>
    <t xml:space="preserve">Красные полосы — работы критического пути; синие — некритические; светлая штриховка справа — резерв времени (до LF). Данные берутся из листа «Расчёт CPM».</t>
  </si>
  <si>
    <t xml:space="preserve">М1</t>
  </si>
  <si>
    <t xml:space="preserve">М2</t>
  </si>
  <si>
    <t xml:space="preserve">М3</t>
  </si>
  <si>
    <t xml:space="preserve">М4</t>
  </si>
  <si>
    <t xml:space="preserve">М5</t>
  </si>
  <si>
    <t xml:space="preserve">М6</t>
  </si>
  <si>
    <t xml:space="preserve">М7</t>
  </si>
  <si>
    <t xml:space="preserve">М8</t>
  </si>
  <si>
    <t xml:space="preserve">М9</t>
  </si>
  <si>
    <t xml:space="preserve">М10</t>
  </si>
  <si>
    <t xml:space="preserve">М11</t>
  </si>
  <si>
    <t xml:space="preserve">М12</t>
  </si>
  <si>
    <t xml:space="preserve">Предш.</t>
  </si>
  <si>
    <t xml:space="preserve">Начало</t>
  </si>
  <si>
    <t xml:space="preserve">Окончание</t>
  </si>
  <si>
    <t xml:space="preserve">D, мес.</t>
  </si>
  <si>
    <t xml:space="preserve">ES</t>
  </si>
  <si>
    <t xml:space="preserve">EF</t>
  </si>
  <si>
    <t xml:space="preserve">LF</t>
  </si>
  <si>
    <t xml:space="preserve">Резерв</t>
  </si>
  <si>
    <t xml:space="preserve">Крит.</t>
  </si>
  <si>
    <t xml:space="preserve">окт 26</t>
  </si>
  <si>
    <t xml:space="preserve">ноя 26</t>
  </si>
  <si>
    <t xml:space="preserve">дек 26</t>
  </si>
  <si>
    <t xml:space="preserve">янв 27</t>
  </si>
  <si>
    <t xml:space="preserve">фев 27</t>
  </si>
  <si>
    <t xml:space="preserve">мар 27</t>
  </si>
  <si>
    <t xml:space="preserve">апр 27</t>
  </si>
  <si>
    <t xml:space="preserve">май 27</t>
  </si>
  <si>
    <t xml:space="preserve">июн 27</t>
  </si>
  <si>
    <t xml:space="preserve">июл 27</t>
  </si>
  <si>
    <t xml:space="preserve">авг 27</t>
  </si>
  <si>
    <t xml:space="preserve">сен 27</t>
  </si>
  <si>
    <t xml:space="preserve">Контрольные точки (ворота):</t>
  </si>
  <si>
    <t xml:space="preserve">Gate 1: ТЗ утверждено</t>
  </si>
  <si>
    <t xml:space="preserve">Gate 2: MVP веб-аудита (закрытая бета)</t>
  </si>
  <si>
    <t xml:space="preserve">Gate 3: бета v1 с надстройкой завершена</t>
  </si>
  <si>
    <t xml:space="preserve">Gate 4: публичный релиз и закрытие проекта</t>
  </si>
  <si>
    <t xml:space="preserve">Легенда:</t>
  </si>
  <si>
    <t xml:space="preserve">работа критического пути (резерв = 0)</t>
  </si>
  <si>
    <t xml:space="preserve">некритическая работа</t>
  </si>
  <si>
    <t xml:space="preserve">резерв времени некритической работы</t>
  </si>
  <si>
    <t xml:space="preserve">Диаграмма Ганта со связями между работами (рисунок)</t>
  </si>
  <si>
    <t xml:space="preserve">Стрелки — связи «финиш – старт»; красные стрелки — связи внутри критического пути. Построено по тем же данным, что и лист «Диаграмма Ганта».</t>
  </si>
  <si>
    <t xml:space="preserve">Сетевой график проекта методом предшествования (операции в узлах, PDM)</t>
  </si>
  <si>
    <t xml:space="preserve">В каждом узле: ES | D | EF сверху, LS | TS | LF снизу (месяцы от старта). Красным — критический путь. Значения совпадают с листом «Расчёт CPM».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</si>
</sst>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"/>
    <numFmt numFmtId="167" formatCode="0.0"/>
    <numFmt numFmtId="168" formatCode="dd\.mm\.yyyy"/>
    <numFmt numFmtId="169" formatCode="dd\.mm\.yy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766E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F75B5"/>
      <name val="Arial"/>
      <family val="0"/>
      <charset val="1"/>
    </font>
    <font>
      <b val="true"/>
      <sz val="10"/>
      <color rgb="FF0F766E"/>
      <name val="Arial"/>
      <family val="0"/>
      <charset val="1"/>
    </font>
    <font>
      <b val="true"/>
      <sz val="10"/>
      <color rgb="FF1F6F8B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11"/>
      <color rgb="FF0F766E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9C0006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8"/>
      <color rgb="FF595959"/>
      <name val="Arial"/>
      <family val="0"/>
      <charset val="1"/>
    </font>
    <font>
      <sz val="7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766E"/>
        <bgColor rgb="FF1F6F8B"/>
      </patternFill>
    </fill>
    <fill>
      <patternFill patternType="solid">
        <fgColor rgb="FFD9EAD3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C00000"/>
        <bgColor rgb="FF9C0006"/>
      </patternFill>
    </fill>
    <fill>
      <patternFill patternType="solid">
        <fgColor rgb="FF2F75B5"/>
        <bgColor rgb="FF1F6F8B"/>
      </patternFill>
    </fill>
    <fill>
      <patternFill patternType="solid">
        <fgColor rgb="FFE7F0F9"/>
        <bgColor rgb="FFD9EAD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hair">
        <color rgb="FFD9D9D9"/>
      </left>
      <right style="hair">
        <color rgb="FFD9D9D9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ill>
        <patternFill>
          <bgColor rgb="FFC00000"/>
        </patternFill>
      </fill>
    </dxf>
    <dxf>
      <fill>
        <patternFill>
          <bgColor rgb="FF2F75B5"/>
        </patternFill>
      </fill>
    </dxf>
    <dxf>
      <fill>
        <patternFill>
          <bgColor rgb="FFE7F0F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F766E"/>
      <rgbColor rgb="FFC0C0C0"/>
      <rgbColor rgb="FF808080"/>
      <rgbColor rgb="FF9999FF"/>
      <rgbColor rgb="FF7030A0"/>
      <rgbColor rgb="FFFFF2CC"/>
      <rgbColor rgb="FFE7F0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F6F8B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8CBAD"/>
      <rgbColor rgb="FF2F75B5"/>
      <rgbColor rgb="FF33CCCC"/>
      <rgbColor rgb="FF99CC00"/>
      <rgbColor rgb="FFFFCC00"/>
      <rgbColor rgb="FFFF9900"/>
      <rgbColor rgb="FFC55A11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48240</xdr:rowOff>
    </xdr:from>
    <xdr:to>
      <xdr:col>5</xdr:col>
      <xdr:colOff>187920</xdr:colOff>
      <xdr:row>45</xdr:row>
      <xdr:rowOff>82080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7238880"/>
          <a:ext cx="10972080" cy="4605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19</xdr:col>
      <xdr:colOff>55800</xdr:colOff>
      <xdr:row>33</xdr:row>
      <xdr:rowOff>189360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571680"/>
          <a:ext cx="11674440" cy="5933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19</xdr:col>
      <xdr:colOff>2880</xdr:colOff>
      <xdr:row>25</xdr:row>
      <xdr:rowOff>19080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571680"/>
          <a:ext cx="11621520" cy="4239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8"/>
    <col collapsed="false" customWidth="true" hidden="false" outlineLevel="0" max="3" min="3" style="0" width="24"/>
    <col collapsed="false" customWidth="true" hidden="false" outlineLevel="0" max="4" min="4" style="0" width="40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3.85" hidden="false" customHeight="fals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customFormat="false" ht="30" hidden="false" customHeight="true" outlineLevel="0" collapsed="false">
      <c r="A6" s="5" t="s">
        <v>12</v>
      </c>
      <c r="B6" s="6" t="s">
        <v>13</v>
      </c>
      <c r="C6" s="7" t="s">
        <v>14</v>
      </c>
      <c r="D6" s="6" t="s">
        <v>15</v>
      </c>
      <c r="E6" s="6" t="s">
        <v>16</v>
      </c>
    </row>
    <row r="7" customFormat="false" ht="30" hidden="false" customHeight="true" outlineLevel="0" collapsed="false">
      <c r="A7" s="5" t="s">
        <v>17</v>
      </c>
      <c r="B7" s="6" t="s">
        <v>18</v>
      </c>
      <c r="C7" s="7" t="s">
        <v>14</v>
      </c>
      <c r="D7" s="6" t="s">
        <v>19</v>
      </c>
      <c r="E7" s="6" t="s">
        <v>16</v>
      </c>
    </row>
    <row r="8" customFormat="false" ht="30" hidden="false" customHeight="true" outlineLevel="0" collapsed="false">
      <c r="A8" s="5" t="s">
        <v>20</v>
      </c>
      <c r="B8" s="6" t="s">
        <v>21</v>
      </c>
      <c r="C8" s="8" t="s">
        <v>22</v>
      </c>
      <c r="D8" s="6" t="s">
        <v>23</v>
      </c>
      <c r="E8" s="6" t="s">
        <v>24</v>
      </c>
    </row>
    <row r="9" customFormat="false" ht="30" hidden="false" customHeight="true" outlineLevel="0" collapsed="false">
      <c r="A9" s="5" t="s">
        <v>25</v>
      </c>
      <c r="B9" s="6" t="s">
        <v>26</v>
      </c>
      <c r="C9" s="8" t="s">
        <v>22</v>
      </c>
      <c r="D9" s="6" t="s">
        <v>27</v>
      </c>
      <c r="E9" s="6" t="s">
        <v>28</v>
      </c>
    </row>
    <row r="10" customFormat="false" ht="30" hidden="false" customHeight="true" outlineLevel="0" collapsed="false">
      <c r="A10" s="5" t="s">
        <v>29</v>
      </c>
      <c r="B10" s="6" t="s">
        <v>30</v>
      </c>
      <c r="C10" s="8" t="s">
        <v>22</v>
      </c>
      <c r="D10" s="6" t="s">
        <v>31</v>
      </c>
      <c r="E10" s="6" t="s">
        <v>32</v>
      </c>
    </row>
    <row r="11" customFormat="false" ht="30" hidden="false" customHeight="true" outlineLevel="0" collapsed="false">
      <c r="A11" s="5" t="s">
        <v>33</v>
      </c>
      <c r="B11" s="6" t="s">
        <v>34</v>
      </c>
      <c r="C11" s="9" t="s">
        <v>35</v>
      </c>
      <c r="D11" s="6" t="s">
        <v>36</v>
      </c>
      <c r="E11" s="6" t="s">
        <v>37</v>
      </c>
    </row>
    <row r="12" customFormat="false" ht="30" hidden="false" customHeight="true" outlineLevel="0" collapsed="false">
      <c r="A12" s="5" t="s">
        <v>38</v>
      </c>
      <c r="B12" s="6" t="s">
        <v>39</v>
      </c>
      <c r="C12" s="9" t="s">
        <v>35</v>
      </c>
      <c r="D12" s="6" t="s">
        <v>40</v>
      </c>
      <c r="E12" s="6" t="s">
        <v>24</v>
      </c>
    </row>
    <row r="13" customFormat="false" ht="30" hidden="false" customHeight="true" outlineLevel="0" collapsed="false">
      <c r="A13" s="5" t="s">
        <v>41</v>
      </c>
      <c r="B13" s="6" t="s">
        <v>42</v>
      </c>
      <c r="C13" s="9" t="s">
        <v>35</v>
      </c>
      <c r="D13" s="6" t="s">
        <v>43</v>
      </c>
      <c r="E13" s="6" t="s">
        <v>44</v>
      </c>
    </row>
    <row r="14" customFormat="false" ht="30" hidden="false" customHeight="true" outlineLevel="0" collapsed="false">
      <c r="A14" s="5" t="s">
        <v>45</v>
      </c>
      <c r="B14" s="6" t="s">
        <v>46</v>
      </c>
      <c r="C14" s="9" t="s">
        <v>35</v>
      </c>
      <c r="D14" s="6" t="s">
        <v>47</v>
      </c>
      <c r="E14" s="6" t="s">
        <v>48</v>
      </c>
    </row>
    <row r="15" customFormat="false" ht="30" hidden="false" customHeight="true" outlineLevel="0" collapsed="false">
      <c r="A15" s="5" t="s">
        <v>49</v>
      </c>
      <c r="B15" s="6" t="s">
        <v>50</v>
      </c>
      <c r="C15" s="10" t="s">
        <v>51</v>
      </c>
      <c r="D15" s="6" t="s">
        <v>52</v>
      </c>
      <c r="E15" s="6" t="s">
        <v>32</v>
      </c>
    </row>
    <row r="16" customFormat="false" ht="30" hidden="false" customHeight="true" outlineLevel="0" collapsed="false">
      <c r="A16" s="5" t="s">
        <v>53</v>
      </c>
      <c r="B16" s="6" t="s">
        <v>54</v>
      </c>
      <c r="C16" s="10" t="s">
        <v>51</v>
      </c>
      <c r="D16" s="6" t="s">
        <v>55</v>
      </c>
      <c r="E16" s="6" t="s">
        <v>44</v>
      </c>
    </row>
    <row r="17" customFormat="false" ht="30" hidden="false" customHeight="true" outlineLevel="0" collapsed="false">
      <c r="A17" s="5" t="s">
        <v>56</v>
      </c>
      <c r="B17" s="6" t="s">
        <v>57</v>
      </c>
      <c r="C17" s="11" t="s">
        <v>58</v>
      </c>
      <c r="D17" s="6" t="s">
        <v>59</v>
      </c>
      <c r="E17" s="6" t="s">
        <v>37</v>
      </c>
    </row>
    <row r="18" customFormat="false" ht="30" hidden="false" customHeight="true" outlineLevel="0" collapsed="false">
      <c r="A18" s="5" t="s">
        <v>60</v>
      </c>
      <c r="B18" s="6" t="s">
        <v>61</v>
      </c>
      <c r="C18" s="12" t="s">
        <v>62</v>
      </c>
      <c r="D18" s="6" t="s">
        <v>63</v>
      </c>
      <c r="E18" s="6" t="s">
        <v>16</v>
      </c>
    </row>
    <row r="19" customFormat="false" ht="30" hidden="false" customHeight="true" outlineLevel="0" collapsed="false">
      <c r="A19" s="5" t="s">
        <v>64</v>
      </c>
      <c r="B19" s="6" t="s">
        <v>65</v>
      </c>
      <c r="C19" s="12" t="s">
        <v>62</v>
      </c>
      <c r="D19" s="6" t="s">
        <v>66</v>
      </c>
      <c r="E19" s="6" t="s">
        <v>48</v>
      </c>
    </row>
    <row r="20" customFormat="false" ht="30" hidden="false" customHeight="true" outlineLevel="0" collapsed="false">
      <c r="A20" s="5" t="s">
        <v>67</v>
      </c>
      <c r="B20" s="6" t="s">
        <v>68</v>
      </c>
      <c r="C20" s="12" t="s">
        <v>62</v>
      </c>
      <c r="D20" s="6" t="s">
        <v>69</v>
      </c>
      <c r="E20" s="6" t="s">
        <v>16</v>
      </c>
    </row>
    <row r="22" customFormat="false" ht="15" hidden="false" customHeight="false" outlineLevel="0" collapsed="false">
      <c r="A22" s="13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6" min="3" style="0" width="14"/>
    <col collapsed="false" customWidth="true" hidden="false" outlineLevel="0" max="7" min="7" style="0" width="16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42" hidden="false" customHeight="true" outlineLevel="0" collapsed="false">
      <c r="A4" s="3" t="s">
        <v>73</v>
      </c>
      <c r="B4" s="3" t="s">
        <v>3</v>
      </c>
      <c r="C4" s="3" t="s">
        <v>74</v>
      </c>
      <c r="D4" s="3" t="s">
        <v>75</v>
      </c>
      <c r="E4" s="3" t="s">
        <v>76</v>
      </c>
      <c r="F4" s="3" t="s">
        <v>77</v>
      </c>
      <c r="G4" s="3" t="s">
        <v>78</v>
      </c>
      <c r="H4" s="3" t="s">
        <v>79</v>
      </c>
    </row>
    <row r="5" customFormat="false" ht="30" hidden="false" customHeight="true" outlineLevel="0" collapsed="false">
      <c r="A5" s="5" t="s">
        <v>12</v>
      </c>
      <c r="B5" s="6" t="s">
        <v>13</v>
      </c>
      <c r="C5" s="14" t="n">
        <v>0.75</v>
      </c>
      <c r="D5" s="14" t="n">
        <v>1</v>
      </c>
      <c r="E5" s="14" t="n">
        <v>1.5</v>
      </c>
      <c r="F5" s="15" t="n">
        <f aca="false">(C5+4*D5+E5)/6</f>
        <v>1.04166666666667</v>
      </c>
      <c r="G5" s="16" t="n">
        <f aca="false">ROUND(F5,0)</f>
        <v>1</v>
      </c>
      <c r="H5" s="6" t="s">
        <v>80</v>
      </c>
    </row>
    <row r="6" customFormat="false" ht="30" hidden="false" customHeight="true" outlineLevel="0" collapsed="false">
      <c r="A6" s="5" t="s">
        <v>17</v>
      </c>
      <c r="B6" s="6" t="s">
        <v>18</v>
      </c>
      <c r="C6" s="14" t="n">
        <v>0.5</v>
      </c>
      <c r="D6" s="14" t="n">
        <v>1</v>
      </c>
      <c r="E6" s="14" t="n">
        <v>1.5</v>
      </c>
      <c r="F6" s="15" t="n">
        <f aca="false">(C6+4*D6+E6)/6</f>
        <v>1</v>
      </c>
      <c r="G6" s="16" t="n">
        <f aca="false">ROUND(F6,0)</f>
        <v>1</v>
      </c>
      <c r="H6" s="6" t="s">
        <v>81</v>
      </c>
    </row>
    <row r="7" customFormat="false" ht="30" hidden="false" customHeight="true" outlineLevel="0" collapsed="false">
      <c r="A7" s="5" t="s">
        <v>20</v>
      </c>
      <c r="B7" s="6" t="s">
        <v>21</v>
      </c>
      <c r="C7" s="14" t="n">
        <v>0.75</v>
      </c>
      <c r="D7" s="14" t="n">
        <v>1</v>
      </c>
      <c r="E7" s="14" t="n">
        <v>1.5</v>
      </c>
      <c r="F7" s="15" t="n">
        <f aca="false">(C7+4*D7+E7)/6</f>
        <v>1.04166666666667</v>
      </c>
      <c r="G7" s="16" t="n">
        <f aca="false">ROUND(F7,0)</f>
        <v>1</v>
      </c>
      <c r="H7" s="6" t="s">
        <v>82</v>
      </c>
    </row>
    <row r="8" customFormat="false" ht="30" hidden="false" customHeight="true" outlineLevel="0" collapsed="false">
      <c r="A8" s="5" t="s">
        <v>25</v>
      </c>
      <c r="B8" s="6" t="s">
        <v>26</v>
      </c>
      <c r="C8" s="14" t="n">
        <v>0.75</v>
      </c>
      <c r="D8" s="14" t="n">
        <v>1</v>
      </c>
      <c r="E8" s="14" t="n">
        <v>1.5</v>
      </c>
      <c r="F8" s="15" t="n">
        <f aca="false">(C8+4*D8+E8)/6</f>
        <v>1.04166666666667</v>
      </c>
      <c r="G8" s="16" t="n">
        <f aca="false">ROUND(F8,0)</f>
        <v>1</v>
      </c>
      <c r="H8" s="6" t="s">
        <v>83</v>
      </c>
    </row>
    <row r="9" customFormat="false" ht="30" hidden="false" customHeight="true" outlineLevel="0" collapsed="false">
      <c r="A9" s="5" t="s">
        <v>29</v>
      </c>
      <c r="B9" s="6" t="s">
        <v>30</v>
      </c>
      <c r="C9" s="14" t="n">
        <v>1.5</v>
      </c>
      <c r="D9" s="14" t="n">
        <v>2</v>
      </c>
      <c r="E9" s="14" t="n">
        <v>3</v>
      </c>
      <c r="F9" s="15" t="n">
        <f aca="false">(C9+4*D9+E9)/6</f>
        <v>2.08333333333333</v>
      </c>
      <c r="G9" s="16" t="n">
        <f aca="false">ROUND(F9,0)</f>
        <v>2</v>
      </c>
      <c r="H9" s="6" t="s">
        <v>84</v>
      </c>
    </row>
    <row r="10" customFormat="false" ht="30" hidden="false" customHeight="true" outlineLevel="0" collapsed="false">
      <c r="A10" s="5" t="s">
        <v>33</v>
      </c>
      <c r="B10" s="6" t="s">
        <v>34</v>
      </c>
      <c r="C10" s="14" t="n">
        <v>2</v>
      </c>
      <c r="D10" s="14" t="n">
        <v>3</v>
      </c>
      <c r="E10" s="14" t="n">
        <v>4.5</v>
      </c>
      <c r="F10" s="15" t="n">
        <f aca="false">(C10+4*D10+E10)/6</f>
        <v>3.08333333333333</v>
      </c>
      <c r="G10" s="16" t="n">
        <f aca="false">ROUND(F10,0)</f>
        <v>3</v>
      </c>
      <c r="H10" s="6" t="s">
        <v>85</v>
      </c>
    </row>
    <row r="11" customFormat="false" ht="30" hidden="false" customHeight="true" outlineLevel="0" collapsed="false">
      <c r="A11" s="5" t="s">
        <v>38</v>
      </c>
      <c r="B11" s="6" t="s">
        <v>39</v>
      </c>
      <c r="C11" s="14" t="n">
        <v>1.5</v>
      </c>
      <c r="D11" s="14" t="n">
        <v>2</v>
      </c>
      <c r="E11" s="14" t="n">
        <v>3</v>
      </c>
      <c r="F11" s="15" t="n">
        <f aca="false">(C11+4*D11+E11)/6</f>
        <v>2.08333333333333</v>
      </c>
      <c r="G11" s="16" t="n">
        <f aca="false">ROUND(F11,0)</f>
        <v>2</v>
      </c>
      <c r="H11" s="6" t="s">
        <v>86</v>
      </c>
    </row>
    <row r="12" customFormat="false" ht="30" hidden="false" customHeight="true" outlineLevel="0" collapsed="false">
      <c r="A12" s="5" t="s">
        <v>41</v>
      </c>
      <c r="B12" s="6" t="s">
        <v>42</v>
      </c>
      <c r="C12" s="14" t="n">
        <v>1.5</v>
      </c>
      <c r="D12" s="14" t="n">
        <v>2</v>
      </c>
      <c r="E12" s="14" t="n">
        <v>2.5</v>
      </c>
      <c r="F12" s="15" t="n">
        <f aca="false">(C12+4*D12+E12)/6</f>
        <v>2</v>
      </c>
      <c r="G12" s="16" t="n">
        <f aca="false">ROUND(F12,0)</f>
        <v>2</v>
      </c>
      <c r="H12" s="6" t="s">
        <v>87</v>
      </c>
    </row>
    <row r="13" customFormat="false" ht="30" hidden="false" customHeight="true" outlineLevel="0" collapsed="false">
      <c r="A13" s="5" t="s">
        <v>45</v>
      </c>
      <c r="B13" s="6" t="s">
        <v>46</v>
      </c>
      <c r="C13" s="14" t="n">
        <v>0.5</v>
      </c>
      <c r="D13" s="14" t="n">
        <v>1</v>
      </c>
      <c r="E13" s="14" t="n">
        <v>1.5</v>
      </c>
      <c r="F13" s="15" t="n">
        <f aca="false">(C13+4*D13+E13)/6</f>
        <v>1</v>
      </c>
      <c r="G13" s="16" t="n">
        <f aca="false">ROUND(F13,0)</f>
        <v>1</v>
      </c>
      <c r="H13" s="6" t="s">
        <v>88</v>
      </c>
    </row>
    <row r="14" customFormat="false" ht="30" hidden="false" customHeight="true" outlineLevel="0" collapsed="false">
      <c r="A14" s="5" t="s">
        <v>49</v>
      </c>
      <c r="B14" s="6" t="s">
        <v>50</v>
      </c>
      <c r="C14" s="14" t="n">
        <v>1.5</v>
      </c>
      <c r="D14" s="14" t="n">
        <v>2</v>
      </c>
      <c r="E14" s="14" t="n">
        <v>3</v>
      </c>
      <c r="F14" s="15" t="n">
        <f aca="false">(C14+4*D14+E14)/6</f>
        <v>2.08333333333333</v>
      </c>
      <c r="G14" s="16" t="n">
        <f aca="false">ROUND(F14,0)</f>
        <v>2</v>
      </c>
      <c r="H14" s="6" t="s">
        <v>89</v>
      </c>
    </row>
    <row r="15" customFormat="false" ht="30" hidden="false" customHeight="true" outlineLevel="0" collapsed="false">
      <c r="A15" s="5" t="s">
        <v>53</v>
      </c>
      <c r="B15" s="6" t="s">
        <v>54</v>
      </c>
      <c r="C15" s="14" t="n">
        <v>0.5</v>
      </c>
      <c r="D15" s="14" t="n">
        <v>1</v>
      </c>
      <c r="E15" s="14" t="n">
        <v>1.5</v>
      </c>
      <c r="F15" s="15" t="n">
        <f aca="false">(C15+4*D15+E15)/6</f>
        <v>1</v>
      </c>
      <c r="G15" s="16" t="n">
        <f aca="false">ROUND(F15,0)</f>
        <v>1</v>
      </c>
      <c r="H15" s="6" t="s">
        <v>90</v>
      </c>
    </row>
    <row r="16" customFormat="false" ht="30" hidden="false" customHeight="true" outlineLevel="0" collapsed="false">
      <c r="A16" s="5" t="s">
        <v>56</v>
      </c>
      <c r="B16" s="6" t="s">
        <v>57</v>
      </c>
      <c r="C16" s="14" t="n">
        <v>2</v>
      </c>
      <c r="D16" s="14" t="n">
        <v>3</v>
      </c>
      <c r="E16" s="14" t="n">
        <v>4.5</v>
      </c>
      <c r="F16" s="15" t="n">
        <f aca="false">(C16+4*D16+E16)/6</f>
        <v>3.08333333333333</v>
      </c>
      <c r="G16" s="16" t="n">
        <f aca="false">ROUND(F16,0)</f>
        <v>3</v>
      </c>
      <c r="H16" s="6" t="s">
        <v>91</v>
      </c>
    </row>
    <row r="17" customFormat="false" ht="30" hidden="false" customHeight="true" outlineLevel="0" collapsed="false">
      <c r="A17" s="5" t="s">
        <v>60</v>
      </c>
      <c r="B17" s="6" t="s">
        <v>61</v>
      </c>
      <c r="C17" s="14" t="n">
        <v>0.5</v>
      </c>
      <c r="D17" s="14" t="n">
        <v>1</v>
      </c>
      <c r="E17" s="14" t="n">
        <v>2</v>
      </c>
      <c r="F17" s="15" t="n">
        <f aca="false">(C17+4*D17+E17)/6</f>
        <v>1.08333333333333</v>
      </c>
      <c r="G17" s="16" t="n">
        <f aca="false">ROUND(F17,0)</f>
        <v>1</v>
      </c>
      <c r="H17" s="6" t="s">
        <v>92</v>
      </c>
    </row>
    <row r="18" customFormat="false" ht="30" hidden="false" customHeight="true" outlineLevel="0" collapsed="false">
      <c r="A18" s="5" t="s">
        <v>64</v>
      </c>
      <c r="B18" s="6" t="s">
        <v>65</v>
      </c>
      <c r="C18" s="14" t="n">
        <v>0.75</v>
      </c>
      <c r="D18" s="14" t="n">
        <v>1</v>
      </c>
      <c r="E18" s="14" t="n">
        <v>1.5</v>
      </c>
      <c r="F18" s="15" t="n">
        <f aca="false">(C18+4*D18+E18)/6</f>
        <v>1.04166666666667</v>
      </c>
      <c r="G18" s="16" t="n">
        <f aca="false">ROUND(F18,0)</f>
        <v>1</v>
      </c>
      <c r="H18" s="6" t="s">
        <v>93</v>
      </c>
    </row>
    <row r="19" customFormat="false" ht="30" hidden="false" customHeight="true" outlineLevel="0" collapsed="false">
      <c r="A19" s="5" t="s">
        <v>67</v>
      </c>
      <c r="B19" s="6" t="s">
        <v>68</v>
      </c>
      <c r="C19" s="14" t="n">
        <v>0.75</v>
      </c>
      <c r="D19" s="14" t="n">
        <v>1</v>
      </c>
      <c r="E19" s="14" t="n">
        <v>1.5</v>
      </c>
      <c r="F19" s="15" t="n">
        <f aca="false">(C19+4*D19+E19)/6</f>
        <v>1.04166666666667</v>
      </c>
      <c r="G19" s="16" t="n">
        <f aca="false">ROUND(F19,0)</f>
        <v>1</v>
      </c>
      <c r="H19" s="6" t="s">
        <v>94</v>
      </c>
    </row>
    <row r="20" customFormat="false" ht="15" hidden="false" customHeight="false" outlineLevel="0" collapsed="false">
      <c r="B20" s="17" t="s">
        <v>95</v>
      </c>
      <c r="G20" s="18" t="n">
        <f aca="false">SUM(G5:G19)</f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97</v>
      </c>
    </row>
    <row r="4" customFormat="false" ht="36" hidden="false" customHeight="true" outlineLevel="0" collapsed="false">
      <c r="A4" s="3" t="s">
        <v>98</v>
      </c>
      <c r="B4" s="3" t="s">
        <v>3</v>
      </c>
      <c r="C4" s="3" t="s">
        <v>99</v>
      </c>
      <c r="D4" s="3" t="s">
        <v>100</v>
      </c>
      <c r="E4" s="3" t="s">
        <v>101</v>
      </c>
      <c r="F4" s="3" t="s">
        <v>102</v>
      </c>
    </row>
    <row r="5" customFormat="false" ht="30" hidden="false" customHeight="true" outlineLevel="0" collapsed="false">
      <c r="A5" s="5" t="s">
        <v>12</v>
      </c>
      <c r="B5" s="6" t="s">
        <v>13</v>
      </c>
      <c r="C5" s="5" t="s">
        <v>9</v>
      </c>
      <c r="D5" s="5" t="s">
        <v>103</v>
      </c>
      <c r="E5" s="5" t="s">
        <v>9</v>
      </c>
      <c r="F5" s="5" t="s">
        <v>104</v>
      </c>
    </row>
    <row r="6" customFormat="false" ht="30" hidden="false" customHeight="true" outlineLevel="0" collapsed="false">
      <c r="A6" s="5" t="s">
        <v>17</v>
      </c>
      <c r="B6" s="6" t="s">
        <v>18</v>
      </c>
      <c r="C6" s="5" t="s">
        <v>12</v>
      </c>
      <c r="D6" s="5" t="s">
        <v>45</v>
      </c>
      <c r="E6" s="5" t="s">
        <v>105</v>
      </c>
      <c r="F6" s="5" t="s">
        <v>106</v>
      </c>
    </row>
    <row r="7" customFormat="false" ht="30" hidden="false" customHeight="true" outlineLevel="0" collapsed="false">
      <c r="A7" s="5" t="s">
        <v>20</v>
      </c>
      <c r="B7" s="6" t="s">
        <v>21</v>
      </c>
      <c r="C7" s="5" t="s">
        <v>12</v>
      </c>
      <c r="D7" s="5" t="s">
        <v>107</v>
      </c>
      <c r="E7" s="5" t="s">
        <v>105</v>
      </c>
      <c r="F7" s="5" t="s">
        <v>104</v>
      </c>
    </row>
    <row r="8" customFormat="false" ht="30" hidden="false" customHeight="true" outlineLevel="0" collapsed="false">
      <c r="A8" s="5" t="s">
        <v>25</v>
      </c>
      <c r="B8" s="6" t="s">
        <v>26</v>
      </c>
      <c r="C8" s="5" t="s">
        <v>12</v>
      </c>
      <c r="D8" s="5" t="s">
        <v>41</v>
      </c>
      <c r="E8" s="5" t="s">
        <v>105</v>
      </c>
      <c r="F8" s="5" t="s">
        <v>106</v>
      </c>
    </row>
    <row r="9" customFormat="false" ht="30" hidden="false" customHeight="true" outlineLevel="0" collapsed="false">
      <c r="A9" s="5" t="s">
        <v>29</v>
      </c>
      <c r="B9" s="6" t="s">
        <v>30</v>
      </c>
      <c r="C9" s="5" t="s">
        <v>12</v>
      </c>
      <c r="D9" s="5" t="s">
        <v>45</v>
      </c>
      <c r="E9" s="5" t="s">
        <v>105</v>
      </c>
      <c r="F9" s="5" t="s">
        <v>106</v>
      </c>
    </row>
    <row r="10" customFormat="false" ht="30" hidden="false" customHeight="true" outlineLevel="0" collapsed="false">
      <c r="A10" s="5" t="s">
        <v>33</v>
      </c>
      <c r="B10" s="6" t="s">
        <v>34</v>
      </c>
      <c r="C10" s="5" t="s">
        <v>20</v>
      </c>
      <c r="D10" s="5" t="s">
        <v>45</v>
      </c>
      <c r="E10" s="5" t="s">
        <v>105</v>
      </c>
      <c r="F10" s="5" t="s">
        <v>106</v>
      </c>
    </row>
    <row r="11" customFormat="false" ht="30" hidden="false" customHeight="true" outlineLevel="0" collapsed="false">
      <c r="A11" s="5" t="s">
        <v>38</v>
      </c>
      <c r="B11" s="6" t="s">
        <v>39</v>
      </c>
      <c r="C11" s="5" t="s">
        <v>20</v>
      </c>
      <c r="D11" s="5" t="s">
        <v>45</v>
      </c>
      <c r="E11" s="5" t="s">
        <v>105</v>
      </c>
      <c r="F11" s="5" t="s">
        <v>106</v>
      </c>
    </row>
    <row r="12" customFormat="false" ht="30" hidden="false" customHeight="true" outlineLevel="0" collapsed="false">
      <c r="A12" s="5" t="s">
        <v>41</v>
      </c>
      <c r="B12" s="6" t="s">
        <v>42</v>
      </c>
      <c r="C12" s="5" t="s">
        <v>108</v>
      </c>
      <c r="D12" s="5" t="s">
        <v>45</v>
      </c>
      <c r="E12" s="5" t="s">
        <v>105</v>
      </c>
      <c r="F12" s="5" t="s">
        <v>109</v>
      </c>
    </row>
    <row r="13" customFormat="false" ht="30" hidden="false" customHeight="true" outlineLevel="0" collapsed="false">
      <c r="A13" s="5" t="s">
        <v>45</v>
      </c>
      <c r="B13" s="6" t="s">
        <v>46</v>
      </c>
      <c r="C13" s="5" t="s">
        <v>110</v>
      </c>
      <c r="D13" s="5" t="s">
        <v>111</v>
      </c>
      <c r="E13" s="5" t="s">
        <v>105</v>
      </c>
      <c r="F13" s="5" t="s">
        <v>112</v>
      </c>
    </row>
    <row r="14" customFormat="false" ht="30" hidden="false" customHeight="true" outlineLevel="0" collapsed="false">
      <c r="A14" s="5" t="s">
        <v>49</v>
      </c>
      <c r="B14" s="6" t="s">
        <v>50</v>
      </c>
      <c r="C14" s="5" t="s">
        <v>45</v>
      </c>
      <c r="D14" s="5" t="s">
        <v>60</v>
      </c>
      <c r="E14" s="5" t="s">
        <v>105</v>
      </c>
      <c r="F14" s="5" t="s">
        <v>106</v>
      </c>
    </row>
    <row r="15" customFormat="false" ht="30" hidden="false" customHeight="true" outlineLevel="0" collapsed="false">
      <c r="A15" s="5" t="s">
        <v>53</v>
      </c>
      <c r="B15" s="6" t="s">
        <v>54</v>
      </c>
      <c r="C15" s="5" t="s">
        <v>45</v>
      </c>
      <c r="D15" s="5" t="s">
        <v>60</v>
      </c>
      <c r="E15" s="5" t="s">
        <v>105</v>
      </c>
      <c r="F15" s="5" t="s">
        <v>106</v>
      </c>
    </row>
    <row r="16" customFormat="false" ht="30" hidden="false" customHeight="true" outlineLevel="0" collapsed="false">
      <c r="A16" s="5" t="s">
        <v>56</v>
      </c>
      <c r="B16" s="6" t="s">
        <v>57</v>
      </c>
      <c r="C16" s="5" t="s">
        <v>45</v>
      </c>
      <c r="D16" s="5" t="s">
        <v>60</v>
      </c>
      <c r="E16" s="5" t="s">
        <v>105</v>
      </c>
      <c r="F16" s="5" t="s">
        <v>106</v>
      </c>
    </row>
    <row r="17" customFormat="false" ht="30" hidden="false" customHeight="true" outlineLevel="0" collapsed="false">
      <c r="A17" s="5" t="s">
        <v>60</v>
      </c>
      <c r="B17" s="6" t="s">
        <v>61</v>
      </c>
      <c r="C17" s="5" t="s">
        <v>111</v>
      </c>
      <c r="D17" s="5" t="s">
        <v>64</v>
      </c>
      <c r="E17" s="5" t="s">
        <v>105</v>
      </c>
      <c r="F17" s="5" t="s">
        <v>109</v>
      </c>
    </row>
    <row r="18" customFormat="false" ht="30" hidden="false" customHeight="true" outlineLevel="0" collapsed="false">
      <c r="A18" s="5" t="s">
        <v>64</v>
      </c>
      <c r="B18" s="6" t="s">
        <v>65</v>
      </c>
      <c r="C18" s="5" t="s">
        <v>60</v>
      </c>
      <c r="D18" s="5" t="s">
        <v>67</v>
      </c>
      <c r="E18" s="5" t="s">
        <v>105</v>
      </c>
      <c r="F18" s="5" t="s">
        <v>106</v>
      </c>
    </row>
    <row r="19" customFormat="false" ht="30" hidden="false" customHeight="true" outlineLevel="0" collapsed="false">
      <c r="A19" s="5" t="s">
        <v>67</v>
      </c>
      <c r="B19" s="6" t="s">
        <v>68</v>
      </c>
      <c r="C19" s="5" t="s">
        <v>64</v>
      </c>
      <c r="D19" s="5" t="s">
        <v>9</v>
      </c>
      <c r="E19" s="5" t="s">
        <v>105</v>
      </c>
      <c r="F19" s="5" t="s">
        <v>106</v>
      </c>
    </row>
    <row r="21" customFormat="false" ht="15" hidden="false" customHeight="false" outlineLevel="0" collapsed="false">
      <c r="B21" s="19" t="s">
        <v>113</v>
      </c>
    </row>
    <row r="22" customFormat="false" ht="15" hidden="false" customHeight="false" outlineLevel="0" collapsed="false">
      <c r="B22" s="19" t="s">
        <v>114</v>
      </c>
    </row>
    <row r="23" customFormat="false" ht="15" hidden="false" customHeight="false" outlineLevel="0" collapsed="false">
      <c r="B23" s="19" t="s">
        <v>115</v>
      </c>
    </row>
    <row r="24" customFormat="false" ht="15" hidden="false" customHeight="false" outlineLevel="0" collapsed="false">
      <c r="B24" s="19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9" min="6" style="0" width="11"/>
    <col collapsed="false" customWidth="true" hidden="false" outlineLevel="0" max="10" min="10" style="0" width="10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117</v>
      </c>
    </row>
    <row r="2" customFormat="false" ht="15" hidden="false" customHeight="false" outlineLevel="0" collapsed="false">
      <c r="A2" s="2" t="s">
        <v>118</v>
      </c>
    </row>
    <row r="4" customFormat="false" ht="36" hidden="false" customHeight="true" outlineLevel="0" collapsed="false">
      <c r="A4" s="3" t="s">
        <v>73</v>
      </c>
      <c r="B4" s="3" t="s">
        <v>119</v>
      </c>
      <c r="C4" s="3" t="s">
        <v>120</v>
      </c>
      <c r="D4" s="3" t="s">
        <v>121</v>
      </c>
      <c r="E4" s="3" t="s">
        <v>122</v>
      </c>
      <c r="F4" s="3" t="s">
        <v>123</v>
      </c>
      <c r="G4" s="3" t="s">
        <v>124</v>
      </c>
      <c r="H4" s="3" t="s">
        <v>125</v>
      </c>
      <c r="I4" s="3" t="s">
        <v>126</v>
      </c>
      <c r="J4" s="3" t="s">
        <v>127</v>
      </c>
      <c r="K4" s="3" t="s">
        <v>128</v>
      </c>
    </row>
    <row r="5" customFormat="false" ht="27.75" hidden="false" customHeight="true" outlineLevel="0" collapsed="false">
      <c r="A5" s="5" t="s">
        <v>12</v>
      </c>
      <c r="B5" s="6" t="s">
        <v>13</v>
      </c>
      <c r="C5" s="5" t="s">
        <v>9</v>
      </c>
      <c r="D5" s="5" t="s">
        <v>103</v>
      </c>
      <c r="E5" s="20" t="n">
        <f aca="false">'Длительности (PERT)'!G5</f>
        <v>1</v>
      </c>
      <c r="F5" s="21" t="n">
        <f aca="false">0</f>
        <v>0</v>
      </c>
      <c r="G5" s="21" t="n">
        <f aca="false">F5+E5</f>
        <v>1</v>
      </c>
      <c r="H5" s="21" t="n">
        <f aca="false">I5-E5</f>
        <v>0</v>
      </c>
      <c r="I5" s="21" t="n">
        <f aca="false">MIN(H6,H7,H8,H9)</f>
        <v>1</v>
      </c>
      <c r="J5" s="21" t="n">
        <f aca="false">H5-F5</f>
        <v>0</v>
      </c>
      <c r="K5" s="5" t="str">
        <f aca="false">IF(ABS(J5)&lt;0.001,"ДА","НЕТ")</f>
        <v>ДА</v>
      </c>
    </row>
    <row r="6" customFormat="false" ht="27.75" hidden="false" customHeight="true" outlineLevel="0" collapsed="false">
      <c r="A6" s="5" t="s">
        <v>17</v>
      </c>
      <c r="B6" s="6" t="s">
        <v>18</v>
      </c>
      <c r="C6" s="5" t="s">
        <v>12</v>
      </c>
      <c r="D6" s="5" t="s">
        <v>45</v>
      </c>
      <c r="E6" s="20" t="n">
        <f aca="false">'Длительности (PERT)'!G6</f>
        <v>1</v>
      </c>
      <c r="F6" s="21" t="n">
        <f aca="false">MAX(G5)</f>
        <v>1</v>
      </c>
      <c r="G6" s="21" t="n">
        <f aca="false">F6+E6</f>
        <v>2</v>
      </c>
      <c r="H6" s="21" t="n">
        <f aca="false">I6-E6</f>
        <v>4</v>
      </c>
      <c r="I6" s="21" t="n">
        <f aca="false">MIN(H13)</f>
        <v>5</v>
      </c>
      <c r="J6" s="21" t="n">
        <f aca="false">H6-F6</f>
        <v>3</v>
      </c>
      <c r="K6" s="5" t="str">
        <f aca="false">IF(ABS(J6)&lt;0.001,"ДА","НЕТ")</f>
        <v>НЕТ</v>
      </c>
    </row>
    <row r="7" customFormat="false" ht="27.75" hidden="false" customHeight="true" outlineLevel="0" collapsed="false">
      <c r="A7" s="5" t="s">
        <v>20</v>
      </c>
      <c r="B7" s="6" t="s">
        <v>21</v>
      </c>
      <c r="C7" s="5" t="s">
        <v>12</v>
      </c>
      <c r="D7" s="5" t="s">
        <v>107</v>
      </c>
      <c r="E7" s="20" t="n">
        <f aca="false">'Длительности (PERT)'!G7</f>
        <v>1</v>
      </c>
      <c r="F7" s="21" t="n">
        <f aca="false">MAX(G5)</f>
        <v>1</v>
      </c>
      <c r="G7" s="21" t="n">
        <f aca="false">F7+E7</f>
        <v>2</v>
      </c>
      <c r="H7" s="21" t="n">
        <f aca="false">I7-E7</f>
        <v>1</v>
      </c>
      <c r="I7" s="21" t="n">
        <f aca="false">MIN(H10,H11,H12)</f>
        <v>2</v>
      </c>
      <c r="J7" s="21" t="n">
        <f aca="false">H7-F7</f>
        <v>0</v>
      </c>
      <c r="K7" s="5" t="str">
        <f aca="false">IF(ABS(J7)&lt;0.001,"ДА","НЕТ")</f>
        <v>ДА</v>
      </c>
    </row>
    <row r="8" customFormat="false" ht="27.75" hidden="false" customHeight="true" outlineLevel="0" collapsed="false">
      <c r="A8" s="5" t="s">
        <v>25</v>
      </c>
      <c r="B8" s="6" t="s">
        <v>26</v>
      </c>
      <c r="C8" s="5" t="s">
        <v>12</v>
      </c>
      <c r="D8" s="5" t="s">
        <v>41</v>
      </c>
      <c r="E8" s="20" t="n">
        <f aca="false">'Длительности (PERT)'!G8</f>
        <v>1</v>
      </c>
      <c r="F8" s="21" t="n">
        <f aca="false">MAX(G5)</f>
        <v>1</v>
      </c>
      <c r="G8" s="21" t="n">
        <f aca="false">F8+E8</f>
        <v>2</v>
      </c>
      <c r="H8" s="21" t="n">
        <f aca="false">I8-E8</f>
        <v>2</v>
      </c>
      <c r="I8" s="21" t="n">
        <f aca="false">MIN(H12)</f>
        <v>3</v>
      </c>
      <c r="J8" s="21" t="n">
        <f aca="false">H8-F8</f>
        <v>1</v>
      </c>
      <c r="K8" s="5" t="str">
        <f aca="false">IF(ABS(J8)&lt;0.001,"ДА","НЕТ")</f>
        <v>НЕТ</v>
      </c>
    </row>
    <row r="9" customFormat="false" ht="27.75" hidden="false" customHeight="true" outlineLevel="0" collapsed="false">
      <c r="A9" s="5" t="s">
        <v>29</v>
      </c>
      <c r="B9" s="6" t="s">
        <v>30</v>
      </c>
      <c r="C9" s="5" t="s">
        <v>12</v>
      </c>
      <c r="D9" s="5" t="s">
        <v>45</v>
      </c>
      <c r="E9" s="20" t="n">
        <f aca="false">'Длительности (PERT)'!G9</f>
        <v>2</v>
      </c>
      <c r="F9" s="21" t="n">
        <f aca="false">MAX(G5)</f>
        <v>1</v>
      </c>
      <c r="G9" s="21" t="n">
        <f aca="false">F9+E9</f>
        <v>3</v>
      </c>
      <c r="H9" s="21" t="n">
        <f aca="false">I9-E9</f>
        <v>3</v>
      </c>
      <c r="I9" s="21" t="n">
        <f aca="false">MIN(H13)</f>
        <v>5</v>
      </c>
      <c r="J9" s="21" t="n">
        <f aca="false">H9-F9</f>
        <v>2</v>
      </c>
      <c r="K9" s="5" t="str">
        <f aca="false">IF(ABS(J9)&lt;0.001,"ДА","НЕТ")</f>
        <v>НЕТ</v>
      </c>
    </row>
    <row r="10" customFormat="false" ht="27.75" hidden="false" customHeight="true" outlineLevel="0" collapsed="false">
      <c r="A10" s="5" t="s">
        <v>33</v>
      </c>
      <c r="B10" s="6" t="s">
        <v>34</v>
      </c>
      <c r="C10" s="5" t="s">
        <v>20</v>
      </c>
      <c r="D10" s="5" t="s">
        <v>45</v>
      </c>
      <c r="E10" s="20" t="n">
        <f aca="false">'Длительности (PERT)'!G10</f>
        <v>3</v>
      </c>
      <c r="F10" s="21" t="n">
        <f aca="false">MAX(G7)</f>
        <v>2</v>
      </c>
      <c r="G10" s="21" t="n">
        <f aca="false">F10+E10</f>
        <v>5</v>
      </c>
      <c r="H10" s="21" t="n">
        <f aca="false">I10-E10</f>
        <v>2</v>
      </c>
      <c r="I10" s="21" t="n">
        <f aca="false">MIN(H13)</f>
        <v>5</v>
      </c>
      <c r="J10" s="21" t="n">
        <f aca="false">H10-F10</f>
        <v>0</v>
      </c>
      <c r="K10" s="5" t="str">
        <f aca="false">IF(ABS(J10)&lt;0.001,"ДА","НЕТ")</f>
        <v>ДА</v>
      </c>
    </row>
    <row r="11" customFormat="false" ht="27.75" hidden="false" customHeight="true" outlineLevel="0" collapsed="false">
      <c r="A11" s="5" t="s">
        <v>38</v>
      </c>
      <c r="B11" s="6" t="s">
        <v>39</v>
      </c>
      <c r="C11" s="5" t="s">
        <v>20</v>
      </c>
      <c r="D11" s="5" t="s">
        <v>45</v>
      </c>
      <c r="E11" s="20" t="n">
        <f aca="false">'Длительности (PERT)'!G11</f>
        <v>2</v>
      </c>
      <c r="F11" s="21" t="n">
        <f aca="false">MAX(G7)</f>
        <v>2</v>
      </c>
      <c r="G11" s="21" t="n">
        <f aca="false">F11+E11</f>
        <v>4</v>
      </c>
      <c r="H11" s="21" t="n">
        <f aca="false">I11-E11</f>
        <v>3</v>
      </c>
      <c r="I11" s="21" t="n">
        <f aca="false">MIN(H13)</f>
        <v>5</v>
      </c>
      <c r="J11" s="21" t="n">
        <f aca="false">H11-F11</f>
        <v>1</v>
      </c>
      <c r="K11" s="5" t="str">
        <f aca="false">IF(ABS(J11)&lt;0.001,"ДА","НЕТ")</f>
        <v>НЕТ</v>
      </c>
    </row>
    <row r="12" customFormat="false" ht="27.75" hidden="false" customHeight="true" outlineLevel="0" collapsed="false">
      <c r="A12" s="5" t="s">
        <v>41</v>
      </c>
      <c r="B12" s="6" t="s">
        <v>42</v>
      </c>
      <c r="C12" s="5" t="s">
        <v>108</v>
      </c>
      <c r="D12" s="5" t="s">
        <v>45</v>
      </c>
      <c r="E12" s="20" t="n">
        <f aca="false">'Длительности (PERT)'!G12</f>
        <v>2</v>
      </c>
      <c r="F12" s="21" t="n">
        <f aca="false">MAX(G7,G8)</f>
        <v>2</v>
      </c>
      <c r="G12" s="21" t="n">
        <f aca="false">F12+E12</f>
        <v>4</v>
      </c>
      <c r="H12" s="21" t="n">
        <f aca="false">I12-E12</f>
        <v>3</v>
      </c>
      <c r="I12" s="21" t="n">
        <f aca="false">MIN(H13)</f>
        <v>5</v>
      </c>
      <c r="J12" s="21" t="n">
        <f aca="false">H12-F12</f>
        <v>1</v>
      </c>
      <c r="K12" s="5" t="str">
        <f aca="false">IF(ABS(J12)&lt;0.001,"ДА","НЕТ")</f>
        <v>НЕТ</v>
      </c>
    </row>
    <row r="13" customFormat="false" ht="27.75" hidden="false" customHeight="true" outlineLevel="0" collapsed="false">
      <c r="A13" s="5" t="s">
        <v>45</v>
      </c>
      <c r="B13" s="6" t="s">
        <v>46</v>
      </c>
      <c r="C13" s="5" t="s">
        <v>110</v>
      </c>
      <c r="D13" s="5" t="s">
        <v>111</v>
      </c>
      <c r="E13" s="20" t="n">
        <f aca="false">'Длительности (PERT)'!G13</f>
        <v>1</v>
      </c>
      <c r="F13" s="21" t="n">
        <f aca="false">MAX(G6,G9,G10,G11,G12)</f>
        <v>5</v>
      </c>
      <c r="G13" s="21" t="n">
        <f aca="false">F13+E13</f>
        <v>6</v>
      </c>
      <c r="H13" s="21" t="n">
        <f aca="false">I13-E13</f>
        <v>5</v>
      </c>
      <c r="I13" s="21" t="n">
        <f aca="false">MIN(H14,H15,H16)</f>
        <v>6</v>
      </c>
      <c r="J13" s="21" t="n">
        <f aca="false">H13-F13</f>
        <v>0</v>
      </c>
      <c r="K13" s="5" t="str">
        <f aca="false">IF(ABS(J13)&lt;0.001,"ДА","НЕТ")</f>
        <v>ДА</v>
      </c>
    </row>
    <row r="14" customFormat="false" ht="27.75" hidden="false" customHeight="true" outlineLevel="0" collapsed="false">
      <c r="A14" s="5" t="s">
        <v>49</v>
      </c>
      <c r="B14" s="6" t="s">
        <v>50</v>
      </c>
      <c r="C14" s="5" t="s">
        <v>45</v>
      </c>
      <c r="D14" s="5" t="s">
        <v>60</v>
      </c>
      <c r="E14" s="20" t="n">
        <f aca="false">'Длительности (PERT)'!G14</f>
        <v>2</v>
      </c>
      <c r="F14" s="21" t="n">
        <f aca="false">MAX(G13)</f>
        <v>6</v>
      </c>
      <c r="G14" s="21" t="n">
        <f aca="false">F14+E14</f>
        <v>8</v>
      </c>
      <c r="H14" s="21" t="n">
        <f aca="false">I14-E14</f>
        <v>7</v>
      </c>
      <c r="I14" s="21" t="n">
        <f aca="false">MIN(H17)</f>
        <v>9</v>
      </c>
      <c r="J14" s="21" t="n">
        <f aca="false">H14-F14</f>
        <v>1</v>
      </c>
      <c r="K14" s="5" t="str">
        <f aca="false">IF(ABS(J14)&lt;0.001,"ДА","НЕТ")</f>
        <v>НЕТ</v>
      </c>
    </row>
    <row r="15" customFormat="false" ht="27.75" hidden="false" customHeight="true" outlineLevel="0" collapsed="false">
      <c r="A15" s="5" t="s">
        <v>53</v>
      </c>
      <c r="B15" s="6" t="s">
        <v>54</v>
      </c>
      <c r="C15" s="5" t="s">
        <v>45</v>
      </c>
      <c r="D15" s="5" t="s">
        <v>60</v>
      </c>
      <c r="E15" s="20" t="n">
        <f aca="false">'Длительности (PERT)'!G15</f>
        <v>1</v>
      </c>
      <c r="F15" s="21" t="n">
        <f aca="false">MAX(G13)</f>
        <v>6</v>
      </c>
      <c r="G15" s="21" t="n">
        <f aca="false">F15+E15</f>
        <v>7</v>
      </c>
      <c r="H15" s="21" t="n">
        <f aca="false">I15-E15</f>
        <v>8</v>
      </c>
      <c r="I15" s="21" t="n">
        <f aca="false">MIN(H17)</f>
        <v>9</v>
      </c>
      <c r="J15" s="21" t="n">
        <f aca="false">H15-F15</f>
        <v>2</v>
      </c>
      <c r="K15" s="5" t="str">
        <f aca="false">IF(ABS(J15)&lt;0.001,"ДА","НЕТ")</f>
        <v>НЕТ</v>
      </c>
    </row>
    <row r="16" customFormat="false" ht="27.75" hidden="false" customHeight="true" outlineLevel="0" collapsed="false">
      <c r="A16" s="5" t="s">
        <v>56</v>
      </c>
      <c r="B16" s="6" t="s">
        <v>57</v>
      </c>
      <c r="C16" s="5" t="s">
        <v>45</v>
      </c>
      <c r="D16" s="5" t="s">
        <v>60</v>
      </c>
      <c r="E16" s="20" t="n">
        <f aca="false">'Длительности (PERT)'!G16</f>
        <v>3</v>
      </c>
      <c r="F16" s="21" t="n">
        <f aca="false">MAX(G13)</f>
        <v>6</v>
      </c>
      <c r="G16" s="21" t="n">
        <f aca="false">F16+E16</f>
        <v>9</v>
      </c>
      <c r="H16" s="21" t="n">
        <f aca="false">I16-E16</f>
        <v>6</v>
      </c>
      <c r="I16" s="21" t="n">
        <f aca="false">MIN(H17)</f>
        <v>9</v>
      </c>
      <c r="J16" s="21" t="n">
        <f aca="false">H16-F16</f>
        <v>0</v>
      </c>
      <c r="K16" s="5" t="str">
        <f aca="false">IF(ABS(J16)&lt;0.001,"ДА","НЕТ")</f>
        <v>ДА</v>
      </c>
    </row>
    <row r="17" customFormat="false" ht="27.75" hidden="false" customHeight="true" outlineLevel="0" collapsed="false">
      <c r="A17" s="5" t="s">
        <v>60</v>
      </c>
      <c r="B17" s="6" t="s">
        <v>61</v>
      </c>
      <c r="C17" s="5" t="s">
        <v>111</v>
      </c>
      <c r="D17" s="5" t="s">
        <v>64</v>
      </c>
      <c r="E17" s="20" t="n">
        <f aca="false">'Длительности (PERT)'!G17</f>
        <v>1</v>
      </c>
      <c r="F17" s="21" t="n">
        <f aca="false">MAX(G14,G15,G16)</f>
        <v>9</v>
      </c>
      <c r="G17" s="21" t="n">
        <f aca="false">F17+E17</f>
        <v>10</v>
      </c>
      <c r="H17" s="21" t="n">
        <f aca="false">I17-E17</f>
        <v>9</v>
      </c>
      <c r="I17" s="21" t="n">
        <f aca="false">MIN(H18)</f>
        <v>10</v>
      </c>
      <c r="J17" s="21" t="n">
        <f aca="false">H17-F17</f>
        <v>0</v>
      </c>
      <c r="K17" s="5" t="str">
        <f aca="false">IF(ABS(J17)&lt;0.001,"ДА","НЕТ")</f>
        <v>ДА</v>
      </c>
    </row>
    <row r="18" customFormat="false" ht="27.75" hidden="false" customHeight="true" outlineLevel="0" collapsed="false">
      <c r="A18" s="5" t="s">
        <v>64</v>
      </c>
      <c r="B18" s="6" t="s">
        <v>65</v>
      </c>
      <c r="C18" s="5" t="s">
        <v>60</v>
      </c>
      <c r="D18" s="5" t="s">
        <v>67</v>
      </c>
      <c r="E18" s="20" t="n">
        <f aca="false">'Длительности (PERT)'!G18</f>
        <v>1</v>
      </c>
      <c r="F18" s="21" t="n">
        <f aca="false">MAX(G17)</f>
        <v>10</v>
      </c>
      <c r="G18" s="21" t="n">
        <f aca="false">F18+E18</f>
        <v>11</v>
      </c>
      <c r="H18" s="21" t="n">
        <f aca="false">I18-E18</f>
        <v>10</v>
      </c>
      <c r="I18" s="21" t="n">
        <f aca="false">MIN(H19)</f>
        <v>11</v>
      </c>
      <c r="J18" s="21" t="n">
        <f aca="false">H18-F18</f>
        <v>0</v>
      </c>
      <c r="K18" s="5" t="str">
        <f aca="false">IF(ABS(J18)&lt;0.001,"ДА","НЕТ")</f>
        <v>ДА</v>
      </c>
    </row>
    <row r="19" customFormat="false" ht="27.75" hidden="false" customHeight="true" outlineLevel="0" collapsed="false">
      <c r="A19" s="5" t="s">
        <v>67</v>
      </c>
      <c r="B19" s="6" t="s">
        <v>68</v>
      </c>
      <c r="C19" s="5" t="s">
        <v>64</v>
      </c>
      <c r="D19" s="5" t="s">
        <v>9</v>
      </c>
      <c r="E19" s="20" t="n">
        <f aca="false">'Длительности (PERT)'!G19</f>
        <v>1</v>
      </c>
      <c r="F19" s="21" t="n">
        <f aca="false">MAX(G18)</f>
        <v>11</v>
      </c>
      <c r="G19" s="21" t="n">
        <f aca="false">F19+E19</f>
        <v>12</v>
      </c>
      <c r="H19" s="21" t="n">
        <f aca="false">I19-E19</f>
        <v>11</v>
      </c>
      <c r="I19" s="21" t="n">
        <f aca="false">$G$21</f>
        <v>12</v>
      </c>
      <c r="J19" s="21" t="n">
        <f aca="false">H19-F19</f>
        <v>0</v>
      </c>
      <c r="K19" s="5" t="str">
        <f aca="false">IF(ABS(J19)&lt;0.001,"ДА","НЕТ")</f>
        <v>ДА</v>
      </c>
    </row>
    <row r="21" customFormat="false" ht="15" hidden="false" customHeight="false" outlineLevel="0" collapsed="false">
      <c r="B21" s="22" t="s">
        <v>129</v>
      </c>
      <c r="G21" s="23" t="n">
        <f aca="false">MAX(G5:G19)</f>
        <v>12</v>
      </c>
    </row>
    <row r="22" customFormat="false" ht="15" hidden="false" customHeight="false" outlineLevel="0" collapsed="false">
      <c r="B22" s="22" t="s">
        <v>130</v>
      </c>
      <c r="G22" s="24" t="n">
        <v>46296</v>
      </c>
    </row>
    <row r="23" customFormat="false" ht="15" hidden="false" customHeight="false" outlineLevel="0" collapsed="false">
      <c r="B23" s="22" t="s">
        <v>131</v>
      </c>
      <c r="G23" s="25" t="n">
        <f aca="false">EDATE(G22,INT(G21))+IF(MOD(G21,1)&gt;0,14,0)-1</f>
        <v>46660</v>
      </c>
    </row>
    <row r="24" customFormat="false" ht="15" hidden="false" customHeight="false" outlineLevel="0" collapsed="false">
      <c r="B24" s="22" t="s">
        <v>128</v>
      </c>
      <c r="G24" s="26" t="s">
        <v>132</v>
      </c>
      <c r="K24" s="27" t="s">
        <v>133</v>
      </c>
    </row>
  </sheetData>
  <conditionalFormatting sqref="A5:K19">
    <cfRule type="expression" priority="2" aboveAverage="0" equalAverage="0" bottom="0" percent="0" rank="0" text="" dxfId="0">
      <formula>$K5="ДА"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4" style="0" width="9"/>
    <col collapsed="false" customWidth="true" hidden="false" outlineLevel="0" max="6" min="6" style="0" width="6"/>
    <col collapsed="false" customWidth="true" hidden="false" outlineLevel="0" max="9" min="7" style="0" width="5"/>
    <col collapsed="false" customWidth="true" hidden="false" outlineLevel="0" max="11" min="10" style="0" width="6"/>
    <col collapsed="false" customWidth="true" hidden="false" outlineLevel="0" max="23" min="12" style="0" width="6.51"/>
  </cols>
  <sheetData>
    <row r="1" customFormat="false" ht="17.35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135</v>
      </c>
    </row>
    <row r="3" customFormat="false" ht="15" hidden="false" customHeight="false" outlineLevel="0" collapsed="false">
      <c r="L3" s="28" t="s">
        <v>136</v>
      </c>
      <c r="M3" s="28" t="s">
        <v>137</v>
      </c>
      <c r="N3" s="28" t="s">
        <v>138</v>
      </c>
      <c r="O3" s="28" t="s">
        <v>139</v>
      </c>
      <c r="P3" s="28" t="s">
        <v>140</v>
      </c>
      <c r="Q3" s="28" t="s">
        <v>141</v>
      </c>
      <c r="R3" s="28" t="s">
        <v>142</v>
      </c>
      <c r="S3" s="28" t="s">
        <v>143</v>
      </c>
      <c r="T3" s="28" t="s">
        <v>144</v>
      </c>
      <c r="U3" s="28" t="s">
        <v>145</v>
      </c>
      <c r="V3" s="28" t="s">
        <v>146</v>
      </c>
      <c r="W3" s="28" t="s">
        <v>147</v>
      </c>
    </row>
    <row r="4" customFormat="false" ht="24" hidden="false" customHeight="true" outlineLevel="0" collapsed="false">
      <c r="A4" s="3" t="s">
        <v>73</v>
      </c>
      <c r="B4" s="3" t="s">
        <v>119</v>
      </c>
      <c r="C4" s="3" t="s">
        <v>148</v>
      </c>
      <c r="D4" s="3" t="s">
        <v>149</v>
      </c>
      <c r="E4" s="3" t="s">
        <v>150</v>
      </c>
      <c r="F4" s="3" t="s">
        <v>151</v>
      </c>
      <c r="G4" s="3" t="s">
        <v>152</v>
      </c>
      <c r="H4" s="3" t="s">
        <v>153</v>
      </c>
      <c r="I4" s="3" t="s">
        <v>154</v>
      </c>
      <c r="J4" s="3" t="s">
        <v>155</v>
      </c>
      <c r="K4" s="3" t="s">
        <v>156</v>
      </c>
      <c r="L4" s="29" t="s">
        <v>157</v>
      </c>
      <c r="M4" s="29" t="s">
        <v>158</v>
      </c>
      <c r="N4" s="29" t="s">
        <v>159</v>
      </c>
      <c r="O4" s="29" t="s">
        <v>160</v>
      </c>
      <c r="P4" s="29" t="s">
        <v>161</v>
      </c>
      <c r="Q4" s="29" t="s">
        <v>162</v>
      </c>
      <c r="R4" s="29" t="s">
        <v>163</v>
      </c>
      <c r="S4" s="29" t="s">
        <v>164</v>
      </c>
      <c r="T4" s="29" t="s">
        <v>165</v>
      </c>
      <c r="U4" s="29" t="s">
        <v>166</v>
      </c>
      <c r="V4" s="29" t="s">
        <v>167</v>
      </c>
      <c r="W4" s="29" t="s">
        <v>168</v>
      </c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0" t="n">
        <v>0</v>
      </c>
      <c r="M5" s="30" t="n">
        <v>1</v>
      </c>
      <c r="N5" s="30" t="n">
        <v>2</v>
      </c>
      <c r="O5" s="30" t="n">
        <v>3</v>
      </c>
      <c r="P5" s="30" t="n">
        <v>4</v>
      </c>
      <c r="Q5" s="30" t="n">
        <v>5</v>
      </c>
      <c r="R5" s="30" t="n">
        <v>6</v>
      </c>
      <c r="S5" s="30" t="n">
        <v>7</v>
      </c>
      <c r="T5" s="30" t="n">
        <v>8</v>
      </c>
      <c r="U5" s="30" t="n">
        <v>9</v>
      </c>
      <c r="V5" s="30" t="n">
        <v>10</v>
      </c>
      <c r="W5" s="30" t="n">
        <v>11</v>
      </c>
    </row>
    <row r="6" customFormat="false" ht="30" hidden="false" customHeight="true" outlineLevel="0" collapsed="false">
      <c r="A6" s="31" t="str">
        <f aca="false">'Расчёт CPM'!A5</f>
        <v>1.0</v>
      </c>
      <c r="B6" s="32" t="str">
        <f aca="false">'Расчёт CPM'!B5</f>
        <v>Анализ требований, интервью с пользователями и утверждение ТЗ</v>
      </c>
      <c r="C6" s="31" t="str">
        <f aca="false">'Расчёт CPM'!C5</f>
        <v>—</v>
      </c>
      <c r="D6" s="33" t="n">
        <f aca="false">EDATE('Расчёт CPM'!$G$22,INT(G6))+IF(MOD(G6,1)&gt;0,14,0)</f>
        <v>46296</v>
      </c>
      <c r="E6" s="33" t="n">
        <f aca="false">EDATE('Расчёт CPM'!$G$22,INT(H6))+IF(MOD(H6,1)&gt;0,14,0)-1</f>
        <v>46326</v>
      </c>
      <c r="F6" s="20" t="n">
        <f aca="false">'Расчёт CPM'!E5</f>
        <v>1</v>
      </c>
      <c r="G6" s="20" t="n">
        <f aca="false">'Расчёт CPM'!F5</f>
        <v>0</v>
      </c>
      <c r="H6" s="20" t="n">
        <f aca="false">'Расчёт CPM'!G5</f>
        <v>1</v>
      </c>
      <c r="I6" s="20" t="n">
        <f aca="false">'Расчёт CPM'!I5</f>
        <v>1</v>
      </c>
      <c r="J6" s="20" t="n">
        <f aca="false">'Расчёт CPM'!J5</f>
        <v>0</v>
      </c>
      <c r="K6" s="31" t="str">
        <f aca="false">'Расчёт CPM'!K5</f>
        <v>ДА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</row>
    <row r="7" customFormat="false" ht="30" hidden="false" customHeight="true" outlineLevel="0" collapsed="false">
      <c r="A7" s="31" t="str">
        <f aca="false">'Расчёт CPM'!A6</f>
        <v>2.0</v>
      </c>
      <c r="B7" s="32" t="str">
        <f aca="false">'Расчёт CPM'!B6</f>
        <v>Юридическое оформление: политика конфиденциальности, условия, DPA</v>
      </c>
      <c r="C7" s="31" t="str">
        <f aca="false">'Расчёт CPM'!C6</f>
        <v>1.0</v>
      </c>
      <c r="D7" s="33" t="n">
        <f aca="false">EDATE('Расчёт CPM'!$G$22,INT(G7))+IF(MOD(G7,1)&gt;0,14,0)</f>
        <v>46327</v>
      </c>
      <c r="E7" s="33" t="n">
        <f aca="false">EDATE('Расчёт CPM'!$G$22,INT(H7))+IF(MOD(H7,1)&gt;0,14,0)-1</f>
        <v>46356</v>
      </c>
      <c r="F7" s="20" t="n">
        <f aca="false">'Расчёт CPM'!E6</f>
        <v>1</v>
      </c>
      <c r="G7" s="20" t="n">
        <f aca="false">'Расчёт CPM'!F6</f>
        <v>1</v>
      </c>
      <c r="H7" s="20" t="n">
        <f aca="false">'Расчёт CPM'!G6</f>
        <v>2</v>
      </c>
      <c r="I7" s="20" t="n">
        <f aca="false">'Расчёт CPM'!I6</f>
        <v>5</v>
      </c>
      <c r="J7" s="20" t="n">
        <f aca="false">'Расчёт CPM'!J6</f>
        <v>3</v>
      </c>
      <c r="K7" s="31" t="str">
        <f aca="false">'Расчёт CPM'!K6</f>
        <v>НЕТ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</row>
    <row r="8" customFormat="false" ht="30" hidden="false" customHeight="true" outlineLevel="0" collapsed="false">
      <c r="A8" s="31" t="str">
        <f aca="false">'Расчёт CPM'!A7</f>
        <v>3.0</v>
      </c>
      <c r="B8" s="32" t="str">
        <f aca="false">'Расчёт CPM'!B7</f>
        <v>Проектирование архитектуры, модели данных и API; CI/CD и окружения в ЕС</v>
      </c>
      <c r="C8" s="31" t="str">
        <f aca="false">'Расчёт CPM'!C7</f>
        <v>1.0</v>
      </c>
      <c r="D8" s="33" t="n">
        <f aca="false">EDATE('Расчёт CPM'!$G$22,INT(G8))+IF(MOD(G8,1)&gt;0,14,0)</f>
        <v>46327</v>
      </c>
      <c r="E8" s="33" t="n">
        <f aca="false">EDATE('Расчёт CPM'!$G$22,INT(H8))+IF(MOD(H8,1)&gt;0,14,0)-1</f>
        <v>46356</v>
      </c>
      <c r="F8" s="20" t="n">
        <f aca="false">'Расчёт CPM'!E7</f>
        <v>1</v>
      </c>
      <c r="G8" s="20" t="n">
        <f aca="false">'Расчёт CPM'!F7</f>
        <v>1</v>
      </c>
      <c r="H8" s="20" t="n">
        <f aca="false">'Расчёт CPM'!G7</f>
        <v>2</v>
      </c>
      <c r="I8" s="20" t="n">
        <f aca="false">'Расчёт CPM'!I7</f>
        <v>2</v>
      </c>
      <c r="J8" s="20" t="n">
        <f aca="false">'Расчёт CPM'!J7</f>
        <v>0</v>
      </c>
      <c r="K8" s="31" t="str">
        <f aca="false">'Расчёт CPM'!K7</f>
        <v>ДА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</row>
    <row r="9" customFormat="false" ht="30" hidden="false" customHeight="true" outlineLevel="0" collapsed="false">
      <c r="A9" s="31" t="str">
        <f aca="false">'Расчёт CPM'!A8</f>
        <v>4.0</v>
      </c>
      <c r="B9" s="32" t="str">
        <f aca="false">'Расчёт CPM'!B8</f>
        <v>UX/UI-дизайн в Figma и коридорные тесты</v>
      </c>
      <c r="C9" s="31" t="str">
        <f aca="false">'Расчёт CPM'!C8</f>
        <v>1.0</v>
      </c>
      <c r="D9" s="33" t="n">
        <f aca="false">EDATE('Расчёт CPM'!$G$22,INT(G9))+IF(MOD(G9,1)&gt;0,14,0)</f>
        <v>46327</v>
      </c>
      <c r="E9" s="33" t="n">
        <f aca="false">EDATE('Расчёт CPM'!$G$22,INT(H9))+IF(MOD(H9,1)&gt;0,14,0)-1</f>
        <v>46356</v>
      </c>
      <c r="F9" s="20" t="n">
        <f aca="false">'Расчёт CPM'!E8</f>
        <v>1</v>
      </c>
      <c r="G9" s="20" t="n">
        <f aca="false">'Расчёт CPM'!F8</f>
        <v>1</v>
      </c>
      <c r="H9" s="20" t="n">
        <f aca="false">'Расчёт CPM'!G8</f>
        <v>2</v>
      </c>
      <c r="I9" s="20" t="n">
        <f aca="false">'Расчёт CPM'!I8</f>
        <v>3</v>
      </c>
      <c r="J9" s="20" t="n">
        <f aca="false">'Расчёт CPM'!J8</f>
        <v>1</v>
      </c>
      <c r="K9" s="31" t="str">
        <f aca="false">'Расчёт CPM'!K8</f>
        <v>НЕТ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</row>
    <row r="10" customFormat="false" ht="30" hidden="false" customHeight="true" outlineLevel="0" collapsed="false">
      <c r="A10" s="31" t="str">
        <f aca="false">'Расчёт CPM'!A9</f>
        <v>5.0</v>
      </c>
      <c r="B10" s="32" t="str">
        <f aca="false">'Расчёт CPM'!B9</f>
        <v>Сбор и разметка eval-набора (реальные, мутационные, чистые модели)</v>
      </c>
      <c r="C10" s="31" t="str">
        <f aca="false">'Расчёт CPM'!C9</f>
        <v>1.0</v>
      </c>
      <c r="D10" s="33" t="n">
        <f aca="false">EDATE('Расчёт CPM'!$G$22,INT(G10))+IF(MOD(G10,1)&gt;0,14,0)</f>
        <v>46327</v>
      </c>
      <c r="E10" s="33" t="n">
        <f aca="false">EDATE('Расчёт CPM'!$G$22,INT(H10))+IF(MOD(H10,1)&gt;0,14,0)-1</f>
        <v>46387</v>
      </c>
      <c r="F10" s="20" t="n">
        <f aca="false">'Расчёт CPM'!E9</f>
        <v>2</v>
      </c>
      <c r="G10" s="20" t="n">
        <f aca="false">'Расчёт CPM'!F9</f>
        <v>1</v>
      </c>
      <c r="H10" s="20" t="n">
        <f aca="false">'Расчёт CPM'!G9</f>
        <v>3</v>
      </c>
      <c r="I10" s="20" t="n">
        <f aca="false">'Расчёт CPM'!I9</f>
        <v>5</v>
      </c>
      <c r="J10" s="20" t="n">
        <f aca="false">'Расчёт CPM'!J9</f>
        <v>2</v>
      </c>
      <c r="K10" s="31" t="str">
        <f aca="false">'Расчёт CPM'!K9</f>
        <v>НЕТ</v>
      </c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</row>
    <row r="11" customFormat="false" ht="30" hidden="false" customHeight="true" outlineLevel="0" collapsed="false">
      <c r="A11" s="31" t="str">
        <f aca="false">'Расчёт CPM'!A10</f>
        <v>6.0</v>
      </c>
      <c r="B11" s="32" t="str">
        <f aca="false">'Расчёт CPM'!B10</f>
        <v>Разработка ядра верификации: парсер формул в AST, range graph, 15 правил</v>
      </c>
      <c r="C11" s="31" t="str">
        <f aca="false">'Расчёт CPM'!C10</f>
        <v>3.0</v>
      </c>
      <c r="D11" s="33" t="n">
        <f aca="false">EDATE('Расчёт CPM'!$G$22,INT(G11))+IF(MOD(G11,1)&gt;0,14,0)</f>
        <v>46357</v>
      </c>
      <c r="E11" s="33" t="n">
        <f aca="false">EDATE('Расчёт CPM'!$G$22,INT(H11))+IF(MOD(H11,1)&gt;0,14,0)-1</f>
        <v>46446</v>
      </c>
      <c r="F11" s="20" t="n">
        <f aca="false">'Расчёт CPM'!E10</f>
        <v>3</v>
      </c>
      <c r="G11" s="20" t="n">
        <f aca="false">'Расчёт CPM'!F10</f>
        <v>2</v>
      </c>
      <c r="H11" s="20" t="n">
        <f aca="false">'Расчёт CPM'!G10</f>
        <v>5</v>
      </c>
      <c r="I11" s="20" t="n">
        <f aca="false">'Расчёт CPM'!I10</f>
        <v>5</v>
      </c>
      <c r="J11" s="20" t="n">
        <f aca="false">'Расчёт CPM'!J10</f>
        <v>0</v>
      </c>
      <c r="K11" s="31" t="str">
        <f aca="false">'Расчёт CPM'!K10</f>
        <v>ДА</v>
      </c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</row>
    <row r="12" customFormat="false" ht="30" hidden="false" customHeight="true" outlineLevel="0" collapsed="false">
      <c r="A12" s="31" t="str">
        <f aca="false">'Расчёт CPM'!A11</f>
        <v>7.0</v>
      </c>
      <c r="B12" s="32" t="str">
        <f aca="false">'Расчёт CPM'!B11</f>
        <v>Разработка бэкенда веб-аудита: API, авторизация, загрузка, очереди</v>
      </c>
      <c r="C12" s="31" t="str">
        <f aca="false">'Расчёт CPM'!C11</f>
        <v>3.0</v>
      </c>
      <c r="D12" s="33" t="n">
        <f aca="false">EDATE('Расчёт CPM'!$G$22,INT(G12))+IF(MOD(G12,1)&gt;0,14,0)</f>
        <v>46357</v>
      </c>
      <c r="E12" s="33" t="n">
        <f aca="false">EDATE('Расчёт CPM'!$G$22,INT(H12))+IF(MOD(H12,1)&gt;0,14,0)-1</f>
        <v>46418</v>
      </c>
      <c r="F12" s="20" t="n">
        <f aca="false">'Расчёт CPM'!E11</f>
        <v>2</v>
      </c>
      <c r="G12" s="20" t="n">
        <f aca="false">'Расчёт CPM'!F11</f>
        <v>2</v>
      </c>
      <c r="H12" s="20" t="n">
        <f aca="false">'Расчёт CPM'!G11</f>
        <v>4</v>
      </c>
      <c r="I12" s="20" t="n">
        <f aca="false">'Расчёт CPM'!I11</f>
        <v>5</v>
      </c>
      <c r="J12" s="20" t="n">
        <f aca="false">'Расчёт CPM'!J11</f>
        <v>1</v>
      </c>
      <c r="K12" s="31" t="str">
        <f aca="false">'Расчёт CPM'!K11</f>
        <v>НЕТ</v>
      </c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</row>
    <row r="13" customFormat="false" ht="30" hidden="false" customHeight="true" outlineLevel="0" collapsed="false">
      <c r="A13" s="31" t="str">
        <f aca="false">'Расчёт CPM'!A12</f>
        <v>8.0</v>
      </c>
      <c r="B13" s="32" t="str">
        <f aca="false">'Расчёт CPM'!B12</f>
        <v>Разработка фронтенда веб-аудита и лендинга</v>
      </c>
      <c r="C13" s="31" t="str">
        <f aca="false">'Расчёт CPM'!C12</f>
        <v>3.0, 4.0</v>
      </c>
      <c r="D13" s="33" t="n">
        <f aca="false">EDATE('Расчёт CPM'!$G$22,INT(G13))+IF(MOD(G13,1)&gt;0,14,0)</f>
        <v>46357</v>
      </c>
      <c r="E13" s="33" t="n">
        <f aca="false">EDATE('Расчёт CPM'!$G$22,INT(H13))+IF(MOD(H13,1)&gt;0,14,0)-1</f>
        <v>46418</v>
      </c>
      <c r="F13" s="20" t="n">
        <f aca="false">'Расчёт CPM'!E12</f>
        <v>2</v>
      </c>
      <c r="G13" s="20" t="n">
        <f aca="false">'Расчёт CPM'!F12</f>
        <v>2</v>
      </c>
      <c r="H13" s="20" t="n">
        <f aca="false">'Расчёт CPM'!G12</f>
        <v>4</v>
      </c>
      <c r="I13" s="20" t="n">
        <f aca="false">'Расчёт CPM'!I12</f>
        <v>5</v>
      </c>
      <c r="J13" s="20" t="n">
        <f aca="false">'Расчёт CPM'!J12</f>
        <v>1</v>
      </c>
      <c r="K13" s="31" t="str">
        <f aca="false">'Расчёт CPM'!K12</f>
        <v>НЕТ</v>
      </c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</row>
    <row r="14" customFormat="false" ht="30" hidden="false" customHeight="true" outlineLevel="0" collapsed="false">
      <c r="A14" s="31" t="str">
        <f aca="false">'Расчёт CPM'!A13</f>
        <v>9.0</v>
      </c>
      <c r="B14" s="32" t="str">
        <f aca="false">'Расчёт CPM'!B13</f>
        <v>Интеграция, тестирование и релиз MVP веб-аудита (закрытая бета)</v>
      </c>
      <c r="C14" s="31" t="str">
        <f aca="false">'Расчёт CPM'!C13</f>
        <v>2.0, 5.0, 6.0, 7.0, 8.0</v>
      </c>
      <c r="D14" s="33" t="n">
        <f aca="false">EDATE('Расчёт CPM'!$G$22,INT(G14))+IF(MOD(G14,1)&gt;0,14,0)</f>
        <v>46447</v>
      </c>
      <c r="E14" s="33" t="n">
        <f aca="false">EDATE('Расчёт CPM'!$G$22,INT(H14))+IF(MOD(H14,1)&gt;0,14,0)-1</f>
        <v>46477</v>
      </c>
      <c r="F14" s="20" t="n">
        <f aca="false">'Расчёт CPM'!E13</f>
        <v>1</v>
      </c>
      <c r="G14" s="20" t="n">
        <f aca="false">'Расчёт CPM'!F13</f>
        <v>5</v>
      </c>
      <c r="H14" s="20" t="n">
        <f aca="false">'Расчёт CPM'!G13</f>
        <v>6</v>
      </c>
      <c r="I14" s="20" t="n">
        <f aca="false">'Расчёт CPM'!I13</f>
        <v>6</v>
      </c>
      <c r="J14" s="20" t="n">
        <f aca="false">'Расчёт CPM'!J13</f>
        <v>0</v>
      </c>
      <c r="K14" s="31" t="str">
        <f aca="false">'Расчёт CPM'!K13</f>
        <v>ДА</v>
      </c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</row>
    <row r="15" customFormat="false" ht="30" hidden="false" customHeight="true" outlineLevel="0" collapsed="false">
      <c r="A15" s="31" t="str">
        <f aca="false">'Расчёт CPM'!A14</f>
        <v>10.0</v>
      </c>
      <c r="B15" s="32" t="str">
        <f aca="false">'Расчёт CPM'!B14</f>
        <v>AI-слой: LLM gateway, объяснения, исправления через DSL, сверка текста</v>
      </c>
      <c r="C15" s="31" t="str">
        <f aca="false">'Расчёт CPM'!C14</f>
        <v>9.0</v>
      </c>
      <c r="D15" s="33" t="n">
        <f aca="false">EDATE('Расчёт CPM'!$G$22,INT(G15))+IF(MOD(G15,1)&gt;0,14,0)</f>
        <v>46478</v>
      </c>
      <c r="E15" s="33" t="n">
        <f aca="false">EDATE('Расчёт CPM'!$G$22,INT(H15))+IF(MOD(H15,1)&gt;0,14,0)-1</f>
        <v>46538</v>
      </c>
      <c r="F15" s="20" t="n">
        <f aca="false">'Расчёт CPM'!E14</f>
        <v>2</v>
      </c>
      <c r="G15" s="20" t="n">
        <f aca="false">'Расчёт CPM'!F14</f>
        <v>6</v>
      </c>
      <c r="H15" s="20" t="n">
        <f aca="false">'Расчёт CPM'!G14</f>
        <v>8</v>
      </c>
      <c r="I15" s="20" t="n">
        <f aca="false">'Расчёт CPM'!I14</f>
        <v>9</v>
      </c>
      <c r="J15" s="20" t="n">
        <f aca="false">'Расчёт CPM'!J14</f>
        <v>1</v>
      </c>
      <c r="K15" s="31" t="str">
        <f aca="false">'Расчёт CPM'!K14</f>
        <v>НЕТ</v>
      </c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</row>
    <row r="16" customFormat="false" ht="30" hidden="false" customHeight="true" outlineLevel="0" collapsed="false">
      <c r="A16" s="31" t="str">
        <f aca="false">'Расчёт CPM'!A15</f>
        <v>11.0</v>
      </c>
      <c r="B16" s="32" t="str">
        <f aca="false">'Расчёт CPM'!B15</f>
        <v>Монетизация: тарифы, Stripe, личный кабинет</v>
      </c>
      <c r="C16" s="31" t="str">
        <f aca="false">'Расчёт CPM'!C15</f>
        <v>9.0</v>
      </c>
      <c r="D16" s="33" t="n">
        <f aca="false">EDATE('Расчёт CPM'!$G$22,INT(G16))+IF(MOD(G16,1)&gt;0,14,0)</f>
        <v>46478</v>
      </c>
      <c r="E16" s="33" t="n">
        <f aca="false">EDATE('Расчёт CPM'!$G$22,INT(H16))+IF(MOD(H16,1)&gt;0,14,0)-1</f>
        <v>46507</v>
      </c>
      <c r="F16" s="20" t="n">
        <f aca="false">'Расчёт CPM'!E15</f>
        <v>1</v>
      </c>
      <c r="G16" s="20" t="n">
        <f aca="false">'Расчёт CPM'!F15</f>
        <v>6</v>
      </c>
      <c r="H16" s="20" t="n">
        <f aca="false">'Расчёт CPM'!G15</f>
        <v>7</v>
      </c>
      <c r="I16" s="20" t="n">
        <f aca="false">'Расчёт CPM'!I15</f>
        <v>9</v>
      </c>
      <c r="J16" s="20" t="n">
        <f aca="false">'Расчёт CPM'!J15</f>
        <v>2</v>
      </c>
      <c r="K16" s="31" t="str">
        <f aca="false">'Расчёт CPM'!K15</f>
        <v>НЕТ</v>
      </c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</row>
    <row r="17" customFormat="false" ht="30" hidden="false" customHeight="true" outlineLevel="0" collapsed="false">
      <c r="A17" s="31" t="str">
        <f aca="false">'Расчёт CPM'!A16</f>
        <v>12.0</v>
      </c>
      <c r="B17" s="32" t="str">
        <f aca="false">'Расчёт CPM'!B16</f>
        <v>Надстройка Excel: проверка при правке, ghost-подсказки, Cmd-K</v>
      </c>
      <c r="C17" s="31" t="str">
        <f aca="false">'Расчёт CPM'!C16</f>
        <v>9.0</v>
      </c>
      <c r="D17" s="33" t="n">
        <f aca="false">EDATE('Расчёт CPM'!$G$22,INT(G17))+IF(MOD(G17,1)&gt;0,14,0)</f>
        <v>46478</v>
      </c>
      <c r="E17" s="33" t="n">
        <f aca="false">EDATE('Расчёт CPM'!$G$22,INT(H17))+IF(MOD(H17,1)&gt;0,14,0)-1</f>
        <v>46568</v>
      </c>
      <c r="F17" s="20" t="n">
        <f aca="false">'Расчёт CPM'!E16</f>
        <v>3</v>
      </c>
      <c r="G17" s="20" t="n">
        <f aca="false">'Расчёт CPM'!F16</f>
        <v>6</v>
      </c>
      <c r="H17" s="20" t="n">
        <f aca="false">'Расчёт CPM'!G16</f>
        <v>9</v>
      </c>
      <c r="I17" s="20" t="n">
        <f aca="false">'Расчёт CPM'!I16</f>
        <v>9</v>
      </c>
      <c r="J17" s="20" t="n">
        <f aca="false">'Расчёт CPM'!J16</f>
        <v>0</v>
      </c>
      <c r="K17" s="31" t="str">
        <f aca="false">'Расчёт CPM'!K16</f>
        <v>ДА</v>
      </c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</row>
    <row r="18" customFormat="false" ht="30" hidden="false" customHeight="true" outlineLevel="0" collapsed="false">
      <c r="A18" s="31" t="str">
        <f aca="false">'Расчёт CPM'!A17</f>
        <v>13.0</v>
      </c>
      <c r="B18" s="32" t="str">
        <f aca="false">'Расчёт CPM'!B17</f>
        <v>Бета-тестирование v1 с 50 пилотными пользователями и доработка</v>
      </c>
      <c r="C18" s="31" t="str">
        <f aca="false">'Расчёт CPM'!C17</f>
        <v>10.0, 11.0, 12.0</v>
      </c>
      <c r="D18" s="33" t="n">
        <f aca="false">EDATE('Расчёт CPM'!$G$22,INT(G18))+IF(MOD(G18,1)&gt;0,14,0)</f>
        <v>46569</v>
      </c>
      <c r="E18" s="33" t="n">
        <f aca="false">EDATE('Расчёт CPM'!$G$22,INT(H18))+IF(MOD(H18,1)&gt;0,14,0)-1</f>
        <v>46599</v>
      </c>
      <c r="F18" s="20" t="n">
        <f aca="false">'Расчёт CPM'!E17</f>
        <v>1</v>
      </c>
      <c r="G18" s="20" t="n">
        <f aca="false">'Расчёт CPM'!F17</f>
        <v>9</v>
      </c>
      <c r="H18" s="20" t="n">
        <f aca="false">'Расчёт CPM'!G17</f>
        <v>10</v>
      </c>
      <c r="I18" s="20" t="n">
        <f aca="false">'Расчёт CPM'!I17</f>
        <v>10</v>
      </c>
      <c r="J18" s="20" t="n">
        <f aca="false">'Расчёт CPM'!J17</f>
        <v>0</v>
      </c>
      <c r="K18" s="31" t="str">
        <f aca="false">'Расчёт CPM'!K17</f>
        <v>ДА</v>
      </c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</row>
    <row r="19" customFormat="false" ht="30" hidden="false" customHeight="true" outlineLevel="0" collapsed="false">
      <c r="A19" s="31" t="str">
        <f aca="false">'Расчёт CPM'!A18</f>
        <v>14.0</v>
      </c>
      <c r="B19" s="32" t="str">
        <f aca="false">'Расчёт CPM'!B18</f>
        <v>Комплексное тестирование: AI-eval, безопасность (OWASP), нагрузка</v>
      </c>
      <c r="C19" s="31" t="str">
        <f aca="false">'Расчёт CPM'!C18</f>
        <v>13.0</v>
      </c>
      <c r="D19" s="33" t="n">
        <f aca="false">EDATE('Расчёт CPM'!$G$22,INT(G19))+IF(MOD(G19,1)&gt;0,14,0)</f>
        <v>46600</v>
      </c>
      <c r="E19" s="33" t="n">
        <f aca="false">EDATE('Расчёт CPM'!$G$22,INT(H19))+IF(MOD(H19,1)&gt;0,14,0)-1</f>
        <v>46630</v>
      </c>
      <c r="F19" s="20" t="n">
        <f aca="false">'Расчёт CPM'!E18</f>
        <v>1</v>
      </c>
      <c r="G19" s="20" t="n">
        <f aca="false">'Расчёт CPM'!F18</f>
        <v>10</v>
      </c>
      <c r="H19" s="20" t="n">
        <f aca="false">'Расчёт CPM'!G18</f>
        <v>11</v>
      </c>
      <c r="I19" s="20" t="n">
        <f aca="false">'Расчёт CPM'!I18</f>
        <v>11</v>
      </c>
      <c r="J19" s="20" t="n">
        <f aca="false">'Расчёт CPM'!J18</f>
        <v>0</v>
      </c>
      <c r="K19" s="31" t="str">
        <f aca="false">'Расчёт CPM'!K18</f>
        <v>ДА</v>
      </c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</row>
    <row r="20" customFormat="false" ht="30" hidden="false" customHeight="true" outlineLevel="0" collapsed="false">
      <c r="A20" s="31" t="str">
        <f aca="false">'Расчёт CPM'!A19</f>
        <v>15.0</v>
      </c>
      <c r="B20" s="32" t="str">
        <f aca="false">'Расчёт CPM'!B19</f>
        <v>Публикация в AppSource, публичный запуск и закрытие проекта</v>
      </c>
      <c r="C20" s="31" t="str">
        <f aca="false">'Расчёт CPM'!C19</f>
        <v>14.0</v>
      </c>
      <c r="D20" s="33" t="n">
        <f aca="false">EDATE('Расчёт CPM'!$G$22,INT(G20))+IF(MOD(G20,1)&gt;0,14,0)</f>
        <v>46631</v>
      </c>
      <c r="E20" s="33" t="n">
        <f aca="false">EDATE('Расчёт CPM'!$G$22,INT(H20))+IF(MOD(H20,1)&gt;0,14,0)-1</f>
        <v>46660</v>
      </c>
      <c r="F20" s="20" t="n">
        <f aca="false">'Расчёт CPM'!E19</f>
        <v>1</v>
      </c>
      <c r="G20" s="20" t="n">
        <f aca="false">'Расчёт CPM'!F19</f>
        <v>11</v>
      </c>
      <c r="H20" s="20" t="n">
        <f aca="false">'Расчёт CPM'!G19</f>
        <v>12</v>
      </c>
      <c r="I20" s="20" t="n">
        <f aca="false">'Расчёт CPM'!I19</f>
        <v>12</v>
      </c>
      <c r="J20" s="20" t="n">
        <f aca="false">'Расчёт CPM'!J19</f>
        <v>0</v>
      </c>
      <c r="K20" s="31" t="str">
        <f aca="false">'Расчёт CPM'!K19</f>
        <v>ДА</v>
      </c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</row>
    <row r="22" customFormat="false" ht="15" hidden="false" customHeight="false" outlineLevel="0" collapsed="false">
      <c r="B22" s="22" t="s">
        <v>169</v>
      </c>
    </row>
    <row r="23" customFormat="false" ht="15" hidden="false" customHeight="false" outlineLevel="0" collapsed="false">
      <c r="B23" s="35" t="s">
        <v>170</v>
      </c>
      <c r="D23" s="36" t="n">
        <f aca="false">EDATE('Расчёт CPM'!$G$22,INT(1))+IF(MOD(1,1)&gt;0,14,0)-1</f>
        <v>46326</v>
      </c>
    </row>
    <row r="24" customFormat="false" ht="15" hidden="false" customHeight="false" outlineLevel="0" collapsed="false">
      <c r="B24" s="35" t="s">
        <v>171</v>
      </c>
      <c r="D24" s="36" t="n">
        <f aca="false">EDATE('Расчёт CPM'!$G$22,INT(6))+IF(MOD(6,1)&gt;0,14,0)-1</f>
        <v>46477</v>
      </c>
    </row>
    <row r="25" customFormat="false" ht="15" hidden="false" customHeight="false" outlineLevel="0" collapsed="false">
      <c r="B25" s="35" t="s">
        <v>172</v>
      </c>
      <c r="D25" s="36" t="n">
        <f aca="false">EDATE('Расчёт CPM'!$G$22,INT(10))+IF(MOD(10,1)&gt;0,14,0)-1</f>
        <v>46599</v>
      </c>
    </row>
    <row r="26" customFormat="false" ht="15" hidden="false" customHeight="false" outlineLevel="0" collapsed="false">
      <c r="B26" s="35" t="s">
        <v>173</v>
      </c>
      <c r="D26" s="36" t="n">
        <f aca="false">EDATE('Расчёт CPM'!$G$22,INT(12))+IF(MOD(12,1)&gt;0,14,0)-1</f>
        <v>46660</v>
      </c>
    </row>
    <row r="28" customFormat="false" ht="15" hidden="false" customHeight="false" outlineLevel="0" collapsed="false">
      <c r="B28" s="22" t="s">
        <v>174</v>
      </c>
    </row>
    <row r="29" customFormat="false" ht="15" hidden="false" customHeight="false" outlineLevel="0" collapsed="false">
      <c r="A29" s="37"/>
      <c r="B29" s="35" t="s">
        <v>175</v>
      </c>
    </row>
    <row r="30" customFormat="false" ht="15" hidden="false" customHeight="false" outlineLevel="0" collapsed="false">
      <c r="A30" s="38"/>
      <c r="B30" s="35" t="s">
        <v>176</v>
      </c>
    </row>
    <row r="31" customFormat="false" ht="15" hidden="false" customHeight="false" outlineLevel="0" collapsed="false">
      <c r="A31" s="39"/>
      <c r="B31" s="35" t="s">
        <v>177</v>
      </c>
    </row>
  </sheetData>
  <mergeCells count="11"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</mergeCells>
  <conditionalFormatting sqref="L6:W20">
    <cfRule type="expression" priority="2" aboveAverage="0" equalAverage="0" bottom="0" percent="0" rank="0" text="" dxfId="1">
      <formula>AND(L$5&gt;=$G6,L$5&lt;$H6,$K6="ДА")</formula>
    </cfRule>
    <cfRule type="expression" priority="3" aboveAverage="0" equalAverage="0" bottom="0" percent="0" rank="0" text="" dxfId="2">
      <formula>AND(L$5&gt;=$G6,L$5&lt;$H6)</formula>
    </cfRule>
    <cfRule type="expression" priority="4" aboveAverage="0" equalAverage="0" bottom="0" percent="0" rank="0" text="" dxfId="3">
      <formula>AND(L$5&gt;=$H6,L$5&lt;$I6)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178</v>
      </c>
    </row>
    <row r="2" customFormat="false" ht="15" hidden="false" customHeight="false" outlineLevel="0" collapsed="false">
      <c r="A2" s="2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180</v>
      </c>
    </row>
    <row r="2" customFormat="false" ht="15" hidden="false" customHeight="false" outlineLevel="0" collapsed="false">
      <c r="A2" s="2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2026-09-30T16:31:20Z</dcterms:created>
  <dc:creator>openpyxl</dc:creator>
  <dc:description/>
  <dc:language>en-US</dc:language>
  <cp:lastModifiedBy/>
  <dcterms:modified xsi:type="dcterms:W3CDTF">2026-09-30T16:31:21Z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
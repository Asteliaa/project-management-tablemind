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Реестр рисков" sheetId="1" state="visible" r:id="rId3"/>
    <sheet name="Шкалы оценки" sheetId="2" state="visible" r:id="rId4"/>
    <sheet name="Карта рисков" sheetId="3" state="visible" r:id="rId5"/>
  </sheets>
  <definedNames>
    <definedName function="false" hidden="true" localSheetId="0" name="_xlnm._FilterDatabase" vbProcedure="false">'Реестр рисков'!$A$4:$W$23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<sst xmlns="http://schemas.openxmlformats.org/spreadsheetml/2006/main" count="298" uniqueCount="252">
  <si>
    <t xml:space="preserve">Наименование проекта: TableMind — AI-сервис проверки Excel-моделей (веб-аудит + надстройка Excel)</t>
  </si>
  <si>
    <t xml:space="preserve">Методы идентификации: анализ документации (SDD, бизнес-анализ, WBS), контрольные листы (Боэм, ДеМарко — Листер), анализ допущений ПЗ1, мозговой штурм команды. Жёлтые ячейки — экспертные оценки; остальное считается формулами.</t>
  </si>
  <si>
    <t xml:space="preserve">№</t>
  </si>
  <si>
    <t xml:space="preserve">Обозна-
чение</t>
  </si>
  <si>
    <t xml:space="preserve">Наименование риска</t>
  </si>
  <si>
    <t xml:space="preserve">Категория</t>
  </si>
  <si>
    <t xml:space="preserve">Влияние на проект (последствия)</t>
  </si>
  <si>
    <t xml:space="preserve">Триггер</t>
  </si>
  <si>
    <t xml:space="preserve">Вероят-
ность P
(0–1)</t>
  </si>
  <si>
    <t xml:space="preserve">Воздей-
ствие I
(0–1)</t>
  </si>
  <si>
    <t xml:space="preserve">Коэфф.
K = P×I</t>
  </si>
  <si>
    <t xml:space="preserve">Приоритет</t>
  </si>
  <si>
    <t xml:space="preserve">Метод
реагирования</t>
  </si>
  <si>
    <t xml:space="preserve">Меры реагирования</t>
  </si>
  <si>
    <t xml:space="preserve">Ответственный</t>
  </si>
  <si>
    <t xml:space="preserve">Работы WBS</t>
  </si>
  <si>
    <t xml:space="preserve">Потери при
наступлении,
BYN</t>
  </si>
  <si>
    <t xml:space="preserve">Ожидаемые
потери
P×потери, BYN</t>
  </si>
  <si>
    <t xml:space="preserve">Затраты
на меры,
BYN</t>
  </si>
  <si>
    <t xml:space="preserve">Целесообразность мер</t>
  </si>
  <si>
    <t xml:space="preserve">P после
мер</t>
  </si>
  <si>
    <t xml:space="preserve">I после
мер</t>
  </si>
  <si>
    <t xml:space="preserve">Остаточный
K</t>
  </si>
  <si>
    <t xml:space="preserve">Остаточный
приоритет</t>
  </si>
  <si>
    <t xml:space="preserve">Ранг
по K</t>
  </si>
  <si>
    <t xml:space="preserve">Крупные платформы (Microsoft Copilot, ChatGPT / Claude for Excel) выпустят бесплатный «режим проверки»</t>
  </si>
  <si>
    <t xml:space="preserve">Рыночный</t>
  </si>
  <si>
    <t xml:space="preserve">Потеря уникальности, падение конверсии и выручки</t>
  </si>
  <si>
    <t xml:space="preserve">Анонс функции аудита или верификации у лидеров рынка</t>
  </si>
  <si>
    <t xml:space="preserve">Снижение</t>
  </si>
  <si>
    <t xml:space="preserve">Фокус на нише аудита финмоделей; сверка текста с таблицей и provenance; API/MCP как слой проверки для чужих AI-агентов; ежемесячный мониторинг конкурентов</t>
  </si>
  <si>
    <t xml:space="preserve">Владелец продукта</t>
  </si>
  <si>
    <t xml:space="preserve">1.0, 15.0</t>
  </si>
  <si>
    <t xml:space="preserve">Высокая доля ложных срабатываний правил (precision критичных находок &lt; 90%)</t>
  </si>
  <si>
    <t xml:space="preserve">Технический</t>
  </si>
  <si>
    <t xml:space="preserve">Потеря доверия, отток бета-пользователей, провал критерия приёмки</t>
  </si>
  <si>
    <t xml:space="preserve">Доля подавленных находок &gt; 15%; precision ниже порога в CI</t>
  </si>
  <si>
    <t xml:space="preserve">Precision — главная метрика; чистый eval-набор; уровни серьёзности; подавление правил; правило выпускается только после прохождения eval</t>
  </si>
  <si>
    <t xml:space="preserve">ML/LLM-инженер</t>
  </si>
  <si>
    <t xml:space="preserve">5.0, 6.0</t>
  </si>
  <si>
    <t xml:space="preserve">Пользователи не захотят менять привычную работу в Excel и пробовать новый сервис</t>
  </si>
  <si>
    <t xml:space="preserve">Нет активации и продаж — продукт не подтверждает ценность</t>
  </si>
  <si>
    <t xml:space="preserve">Менее 8% посетителей начинают аудит; нет повторных аудитов</t>
  </si>
  <si>
    <t xml:space="preserve">Старт с веб-аудита без установки и надстройки внутри Excel; собственный редактор — только после подтверждения спроса; бесплатный тизер находок</t>
  </si>
  <si>
    <t xml:space="preserve">4.0, 12.0</t>
  </si>
  <si>
    <t xml:space="preserve">Срыв сроков критического пути из-за недооценки трудоёмкости (ядро, надстройка)</t>
  </si>
  <si>
    <t xml:space="preserve">Организационный</t>
  </si>
  <si>
    <t xml:space="preserve">Сдвиг релиза, рост затрат на оплату труда</t>
  </si>
  <si>
    <t xml:space="preserve">Отставание &gt; 2 недель от базового плана на воротах</t>
  </si>
  <si>
    <t xml:space="preserve">Ворота фаз, еженедельный контроль по диаграмме Ганта, MoSCoW — перенос Should в v2, AI-агенты для типового кода</t>
  </si>
  <si>
    <t xml:space="preserve">Руководитель проекта</t>
  </si>
  <si>
    <t xml:space="preserve">6.0, 12.0</t>
  </si>
  <si>
    <t xml:space="preserve">Пользователи не готовы загружать конфиденциальные финмодели в облако</t>
  </si>
  <si>
    <t xml:space="preserve">Низкая активация, мало данных для проверки ценности</t>
  </si>
  <si>
    <t xml:space="preserve">Отказы на шаге загрузки &gt; 70%</t>
  </si>
  <si>
    <t xml:space="preserve">Блок доверия у загрузчика, хостинг в ЕС, удаление файлов по сроку, отказ от обучения на данных, демо-файл «проверить на примере»</t>
  </si>
  <si>
    <t xml:space="preserve">2.0, 8.0</t>
  </si>
  <si>
    <t xml:space="preserve">Сложные элементы xlsx (объединённые ячейки, массивы, локали, внешние ссылки) — расхождение пересчёта с Excel</t>
  </si>
  <si>
    <t xml:space="preserve">Ошибочные находки, сдвиг сроков разработки ядра</t>
  </si>
  <si>
    <t xml:space="preserve">Доля ошибок парсинга &gt; 5% на eval-наборе</t>
  </si>
  <si>
    <t xml:space="preserve">Набор эталонных книг; сложные элементы только читаются с предупреждением и пометкой «проверено частично»</t>
  </si>
  <si>
    <t xml:space="preserve">Бэкенд-разработчик 2</t>
  </si>
  <si>
    <t xml:space="preserve">6.0</t>
  </si>
  <si>
    <t xml:space="preserve">Уход или выгорание ключевого разработчика ядра верификации</t>
  </si>
  <si>
    <t xml:space="preserve">Потеря знаний, срыв сроков критического пути</t>
  </si>
  <si>
    <t xml:space="preserve">Снижение вовлечённости, переработки, внешнее предложение о работе</t>
  </si>
  <si>
    <t xml:space="preserve">ADR и документация, обязательное код-ревью, совместное владение ядром двумя разработчиками, контроль нагрузки</t>
  </si>
  <si>
    <t xml:space="preserve">Рост цен или изменение условий LLM API</t>
  </si>
  <si>
    <t xml:space="preserve">Финансовый</t>
  </si>
  <si>
    <t xml:space="preserve">Снижение валовой маржи ниже 65%</t>
  </si>
  <si>
    <t xml:space="preserve">Стоимость LLM &gt; 30% выручки на пользователя</t>
  </si>
  <si>
    <t xml:space="preserve">LLM gateway с несколькими провайдерами, кэш промптов, эвристики до вызова LLM, лимиты тарифов</t>
  </si>
  <si>
    <t xml:space="preserve">10.0</t>
  </si>
  <si>
    <t xml:space="preserve">Низкая конверсия Free → платный тариф (&lt; 2%)</t>
  </si>
  <si>
    <t xml:space="preserve">Цель «≥ 50 платящих пользователей» не достигнута</t>
  </si>
  <si>
    <t xml:space="preserve">Конверсия &lt; 2% через месяц после запуска оплаты</t>
  </si>
  <si>
    <t xml:space="preserve">Оплата в точке максимальной ценности («исправить и скачать»), разовый аудит 9 €, пробный Pro 7 дней, A/B-тест цен</t>
  </si>
  <si>
    <t xml:space="preserve">11.0, 15.0</t>
  </si>
  <si>
    <t xml:space="preserve">Превышение бюджета проекта</t>
  </si>
  <si>
    <t xml:space="preserve">Нехватка средств на запуск и маркетинг</t>
  </si>
  <si>
    <t xml:space="preserve">Освоение бюджета опережает план более чем на 10%</t>
  </si>
  <si>
    <t xml:space="preserve">Принятие</t>
  </si>
  <si>
    <t xml:space="preserve">Резерв 10% от базовой стоимости (47 000 BYN), ежемесячный контроль затрат, приоритизация Must have</t>
  </si>
  <si>
    <t xml:space="preserve">все</t>
  </si>
  <si>
    <t xml:space="preserve">Лицензия движка пересчёта формул (например, GPLv3) несовместима с закрытым SaaS</t>
  </si>
  <si>
    <t xml:space="preserve">Правовой</t>
  </si>
  <si>
    <t xml:space="preserve">Замена библиотеки, +1–2 месяца на критическом пути</t>
  </si>
  <si>
    <t xml:space="preserve">Выбрана библиотека с copyleft-лицензией</t>
  </si>
  <si>
    <t xml:space="preserve">Уклонение</t>
  </si>
  <si>
    <t xml:space="preserve">Проверка лицензий на этапе архитектуры, выбор permissive-библиотек или собственный пересчёт, проверка лицензий в CI</t>
  </si>
  <si>
    <t xml:space="preserve">Бэкенд-разработчик 1</t>
  </si>
  <si>
    <t xml:space="preserve">3.0, 6.0</t>
  </si>
  <si>
    <t xml:space="preserve">Не удастся привлечь 10–20 пилотных пользователей с реальными финмоделями</t>
  </si>
  <si>
    <t xml:space="preserve">Нерепрезентативный eval-набор, правила настроены «вслепую»</t>
  </si>
  <si>
    <t xml:space="preserve">К концу 2-го месяца &lt; 5 пилотных пользователей</t>
  </si>
  <si>
    <t xml:space="preserve">Прямой выход на бухгалтерские и консалтинговые фирмы, бесплатный аудит шаблона, открытые финмодели как резерв</t>
  </si>
  <si>
    <t xml:space="preserve">1.0, 5.0</t>
  </si>
  <si>
    <t xml:space="preserve">Нарушение GDPR / Закона РБ № 99-З «О защите персональных данных» при передаче данных LLM-провайдеру</t>
  </si>
  <si>
    <t xml:space="preserve">Штрафы, блокировка обработки, репутационный ущерб</t>
  </si>
  <si>
    <t xml:space="preserve">Нет DPA с провайдером; провайдер без обработки в ЕС</t>
  </si>
  <si>
    <t xml:space="preserve">Только провайдеры с zero data retention и регионом ЕС; DPA; реестр обработки; в LLM передаётся профиль таблицы, а не весь файл</t>
  </si>
  <si>
    <t xml:space="preserve">Руководитель проекта (юрист)</t>
  </si>
  <si>
    <t xml:space="preserve">2.0, 10.0</t>
  </si>
  <si>
    <t xml:space="preserve">Задержка или отказ в публикации надстройки в Microsoft AppSource</t>
  </si>
  <si>
    <t xml:space="preserve">Внешний</t>
  </si>
  <si>
    <t xml:space="preserve">Сдвиг публичного релиза основного продукта</t>
  </si>
  <si>
    <t xml:space="preserve">Замечания валидации AppSource; проверка дольше 4 недель</t>
  </si>
  <si>
    <t xml:space="preserve">Подача за 6 недель до запуска, прохождение чек-листа валидации, веб-аудит как независимый канал продаж</t>
  </si>
  <si>
    <t xml:space="preserve">Фронтенд-разработчик</t>
  </si>
  <si>
    <t xml:space="preserve">12.0, 15.0</t>
  </si>
  <si>
    <t xml:space="preserve">Раздувание требований (собственный редактор, коннекторы, Google Sheets)</t>
  </si>
  <si>
    <t xml:space="preserve">Распыление ресурсов, срыв сроков MVP</t>
  </si>
  <si>
    <t xml:space="preserve">Запросы вне списка Must/Should от заказчика и бета-пользователей</t>
  </si>
  <si>
    <t xml:space="preserve">Зафиксированный список Won’t have, процедура управления изменениями, бэклог v2</t>
  </si>
  <si>
    <t xml:space="preserve">1.0, 13.0</t>
  </si>
  <si>
    <t xml:space="preserve">Утечка файлов клиентов (ошибка разграничения доступа, взлом)</t>
  </si>
  <si>
    <t xml:space="preserve">Безопасность</t>
  </si>
  <si>
    <t xml:space="preserve">Штрафы, потеря доверия, закрытие B2B-продаж</t>
  </si>
  <si>
    <t xml:space="preserve">Аномальные запросы к хранилищу; критическая уязвимость в зависимостях</t>
  </si>
  <si>
    <t xml:space="preserve">Снижение + передача</t>
  </si>
  <si>
    <t xml:space="preserve">RLS по воркспейсу, шифрование, песочница без сети, сканирование зависимостей, пентест; страхование киберрисков</t>
  </si>
  <si>
    <t xml:space="preserve">7.0, 14.0</t>
  </si>
  <si>
    <t xml:space="preserve">Prompt injection через содержимое ячеек и текста документа</t>
  </si>
  <si>
    <t xml:space="preserve">Искажённые планы агента, утечка системного промпта</t>
  </si>
  <si>
    <t xml:space="preserve">Внедрённые инструкции из тестового набора проходят фильтр</t>
  </si>
  <si>
    <t xml:space="preserve">Данные в помеченных блоках, у агента нет инструментов с внешними эффектами, верификация каждого плана</t>
  </si>
  <si>
    <t xml:space="preserve">10.0, 14.0</t>
  </si>
  <si>
    <t xml:space="preserve">Искажение структуры, стилей или диаграмм xlsx при экспорте исправленного файла</t>
  </si>
  <si>
    <t xml:space="preserve">Пользователь получает повреждённую книгу, потеря доверия к исправлениям</t>
  </si>
  <si>
    <t xml:space="preserve">Регрессионный тест «до/после экспорта» показывает отличия вне исправленных ячеек</t>
  </si>
  <si>
    <t xml:space="preserve">Точечная правка XML внутри исходного пакета xlsx вместо пересохранения; регрессионный тест экспорта; проверка открытия в Excel для Windows, Mac и веб</t>
  </si>
  <si>
    <t xml:space="preserve">7.0, 9.0</t>
  </si>
  <si>
    <t xml:space="preserve">Временная недоступность провайдера LLM</t>
  </si>
  <si>
    <t xml:space="preserve">Нет AI-объяснений и Cmd-K на время сбоя</t>
  </si>
  <si>
    <t xml:space="preserve">Ошибки или таймауты API &gt; 5% за час</t>
  </si>
  <si>
    <t xml:space="preserve">Проверки работают без LLM; шаблонные объяснения из каталога правил; переключение провайдера в gateway</t>
  </si>
  <si>
    <t xml:space="preserve">Итого</t>
  </si>
  <si>
    <t xml:space="preserve">Сводка</t>
  </si>
  <si>
    <t xml:space="preserve">Рисков высокого приоритета</t>
  </si>
  <si>
    <t xml:space="preserve">Рисков среднего приоритета</t>
  </si>
  <si>
    <t xml:space="preserve">Рисков низкого приоритета</t>
  </si>
  <si>
    <t xml:space="preserve">Средний коэффициент K до мер</t>
  </si>
  <si>
    <t xml:space="preserve">Средний коэффициент K после мер</t>
  </si>
  <si>
    <t xml:space="preserve">Снижение суммарного риска, %</t>
  </si>
  <si>
    <t xml:space="preserve">Затраты на меры (заложены в статьи бюджета как работы WBS), BYN</t>
  </si>
  <si>
    <t xml:space="preserve">Резерв на риски (10% от базовой стоимости), BYN</t>
  </si>
  <si>
    <t xml:space="preserve">Ожидаемые потери по принятым рискам, BYN</t>
  </si>
  <si>
    <t xml:space="preserve">Резерв покрывает принятые риски?</t>
  </si>
  <si>
    <t xml:space="preserve">Возможности (положительные риски)</t>
  </si>
  <si>
    <t xml:space="preserve">Код</t>
  </si>
  <si>
    <t xml:space="preserve">Возможность</t>
  </si>
  <si>
    <t xml:space="preserve">Эффект для проекта</t>
  </si>
  <si>
    <t xml:space="preserve">Вероятность</t>
  </si>
  <si>
    <t xml:space="preserve">Стратегия</t>
  </si>
  <si>
    <t xml:space="preserve">В.1</t>
  </si>
  <si>
    <t xml:space="preserve">Партнёрство с бухгалтерскими и консалтинговыми фирмами</t>
  </si>
  <si>
    <t xml:space="preserve">+20–30 платящих мест по тарифу Team</t>
  </si>
  <si>
    <t xml:space="preserve">Две и более фирмы бесплатно проверили свой шаблон</t>
  </si>
  <si>
    <t xml:space="preserve">Использование: пилот Team со скидкой, совместные кейсы</t>
  </si>
  <si>
    <t xml:space="preserve">В.2</t>
  </si>
  <si>
    <t xml:space="preserve">Спрос AI-компаний на проверку через API / MCP</t>
  </si>
  <si>
    <t xml:space="preserve">Новый B2B-канал, защита от конкуренции встроенных ассистентов</t>
  </si>
  <si>
    <t xml:space="preserve">Запросы на API от бета-пользователей и интеграторов</t>
  </si>
  <si>
    <t xml:space="preserve">Усиление: вынести API раньше, в начало v2</t>
  </si>
  <si>
    <t xml:space="preserve">В.3</t>
  </si>
  <si>
    <t xml:space="preserve">AI-агенты для кодирования ускорят типовые работы</t>
  </si>
  <si>
    <t xml:space="preserve">Сокращение сроков обвязки бэкенда и фронтенда на 20–30%</t>
  </si>
  <si>
    <t xml:space="preserve">Скорость закрытия задач выше плана на воротах 2</t>
  </si>
  <si>
    <t xml:space="preserve">Использование: высвободившееся время — в резерв критического пути</t>
  </si>
  <si>
    <t xml:space="preserve">Шкалы качественной оценки рисков проекта TableMind (бюджет 517 000 BYN, срок 12 месяцев)</t>
  </si>
  <si>
    <t xml:space="preserve">Шкала вероятности (P, от 0 до 1)</t>
  </si>
  <si>
    <t xml:space="preserve">Оценка P</t>
  </si>
  <si>
    <t xml:space="preserve">Описание</t>
  </si>
  <si>
    <t xml:space="preserve">Пример для проекта</t>
  </si>
  <si>
    <t xml:space="preserve">Вероятность наступления</t>
  </si>
  <si>
    <t xml:space="preserve">0,1–0,2</t>
  </si>
  <si>
    <t xml:space="preserve">Очень низкая</t>
  </si>
  <si>
    <t xml:space="preserve">Единичный случай в отрасли</t>
  </si>
  <si>
    <t xml:space="preserve">&lt; 20%</t>
  </si>
  <si>
    <t xml:space="preserve">0,2–0,4</t>
  </si>
  <si>
    <t xml:space="preserve">Низкая</t>
  </si>
  <si>
    <t xml:space="preserve">Возможно, но маловероятно за год</t>
  </si>
  <si>
    <t xml:space="preserve">20–40%</t>
  </si>
  <si>
    <t xml:space="preserve">0,4–0,6</t>
  </si>
  <si>
    <t xml:space="preserve">Средняя</t>
  </si>
  <si>
    <t xml:space="preserve">Случается примерно в половине похожих проектов</t>
  </si>
  <si>
    <t xml:space="preserve">40–60%</t>
  </si>
  <si>
    <t xml:space="preserve">0,6–0,8</t>
  </si>
  <si>
    <t xml:space="preserve">Высокая</t>
  </si>
  <si>
    <t xml:space="preserve">Скорее произойдёт, есть явные признаки</t>
  </si>
  <si>
    <t xml:space="preserve">60–80%</t>
  </si>
  <si>
    <t xml:space="preserve">0,8–1,0</t>
  </si>
  <si>
    <t xml:space="preserve">Очень высокая</t>
  </si>
  <si>
    <t xml:space="preserve">Почти наверняка</t>
  </si>
  <si>
    <t xml:space="preserve">&gt; 80%</t>
  </si>
  <si>
    <t xml:space="preserve">Шкала воздействия (I, от 0 до 1)</t>
  </si>
  <si>
    <t xml:space="preserve">Оценка I</t>
  </si>
  <si>
    <t xml:space="preserve">Финансовые потери</t>
  </si>
  <si>
    <t xml:space="preserve">Сроки</t>
  </si>
  <si>
    <t xml:space="preserve">Репутация / качество</t>
  </si>
  <si>
    <t xml:space="preserve">Юридические последствия</t>
  </si>
  <si>
    <t xml:space="preserve">Очень низкое</t>
  </si>
  <si>
    <t xml:space="preserve">&lt; 5 000 BYN (&lt; 1% бюджета)</t>
  </si>
  <si>
    <t xml:space="preserve">задержка &lt; 1 недели</t>
  </si>
  <si>
    <t xml:space="preserve">незаметно пользователям</t>
  </si>
  <si>
    <t xml:space="preserve">нет</t>
  </si>
  <si>
    <t xml:space="preserve">0,3–0,4</t>
  </si>
  <si>
    <t xml:space="preserve">Низкое</t>
  </si>
  <si>
    <t xml:space="preserve">5 000–15 000 BYN</t>
  </si>
  <si>
    <t xml:space="preserve">до 2 недель</t>
  </si>
  <si>
    <t xml:space="preserve">единичные жалобы</t>
  </si>
  <si>
    <t xml:space="preserve">предписание без штрафа</t>
  </si>
  <si>
    <t xml:space="preserve">0,5–0,6</t>
  </si>
  <si>
    <t xml:space="preserve">Среднее</t>
  </si>
  <si>
    <t xml:space="preserve">15 000–30 000 BYN</t>
  </si>
  <si>
    <t xml:space="preserve">до 1 месяца</t>
  </si>
  <si>
    <t xml:space="preserve">снижение метрик беты</t>
  </si>
  <si>
    <t xml:space="preserve">штраф по Закону № 99-З</t>
  </si>
  <si>
    <t xml:space="preserve">0,7–0,8</t>
  </si>
  <si>
    <t xml:space="preserve">Высокое</t>
  </si>
  <si>
    <t xml:space="preserve">30 000–60 000 BYN</t>
  </si>
  <si>
    <t xml:space="preserve">1–2 месяца, срыв ворот</t>
  </si>
  <si>
    <t xml:space="preserve">срыв критерия приёмки, отток</t>
  </si>
  <si>
    <t xml:space="preserve">проверка регулятора (НЦЗПД, надзор ЕС)</t>
  </si>
  <si>
    <t xml:space="preserve">0,9–1,0</t>
  </si>
  <si>
    <t xml:space="preserve">Очень высокое</t>
  </si>
  <si>
    <t xml:space="preserve">&gt; 60 000 BYN</t>
  </si>
  <si>
    <t xml:space="preserve">срыв проекта</t>
  </si>
  <si>
    <t xml:space="preserve">потеря доверия рынка</t>
  </si>
  <si>
    <t xml:space="preserve">штраф GDPR, блокировка обработки</t>
  </si>
  <si>
    <t xml:space="preserve">Приоритет риска по коэффициенту K = P × I (пороги — как в шаблоне «Карта рисков в Excel»: 0,505 и 0,14)</t>
  </si>
  <si>
    <t xml:space="preserve">Порог K</t>
  </si>
  <si>
    <t xml:space="preserve">Действие</t>
  </si>
  <si>
    <t xml:space="preserve">Высокий (K &gt; 0,505)</t>
  </si>
  <si>
    <t xml:space="preserve">Обязательные меры, еженедельный мониторинг, владелец — член команды</t>
  </si>
  <si>
    <t xml:space="preserve">Средний (0,14 ≤ K ≤ 0,505)</t>
  </si>
  <si>
    <t xml:space="preserve">Меры при экономической целесообразности, мониторинг на воротах</t>
  </si>
  <si>
    <t xml:space="preserve">Низкий (K &lt; 0,14)</t>
  </si>
  <si>
    <t xml:space="preserve">Принятие, контроль по триггеру</t>
  </si>
  <si>
    <t xml:space="preserve">Методы реагирования (PMBOK): уклонение — изменить план и исключить угрозу; снижение — уменьшить вероятность и/или последствия; передача — переложить последствия на третью сторону (договор, страхование); принятие — осознанно оставить риск и покрыть его резервом.</t>
  </si>
  <si>
    <t xml:space="preserve">Карта рисков проекта TableMind (вероятность × воздействие)</t>
  </si>
  <si>
    <t xml:space="preserve">Сетка 0,1 × 0,1, как «3 вариант» в шаблоне: в ячейке — риски с такими P и I (формулы из «Реестра рисков»). Цвет — по K = P × I: &gt; 0,505 высокий, 0,14–0,505 средний, &lt; 0,14 низкий.</t>
  </si>
  <si>
    <t xml:space="preserve">I ↓ / P →</t>
  </si>
  <si>
    <t xml:space="preserve">Сила воздействия риска I</t>
  </si>
  <si>
    <t xml:space="preserve">Вероятность возникновения риска P</t>
  </si>
  <si>
    <t xml:space="preserve">Высокий приоритет (K &gt; 0,505)</t>
  </si>
  <si>
    <t xml:space="preserve">Средний приоритет (0,14 ≤ K ≤ 0,505)</t>
  </si>
  <si>
    <t xml:space="preserve">Низкий приоритет (K &lt; 0,14)</t>
  </si>
  <si>
    <t xml:space="preserve">Топ-5 рисков по коэффициенту K</t>
  </si>
  <si>
    <t xml:space="preserve">Место</t>
  </si>
  <si>
    <t xml:space="preserve">Риск</t>
  </si>
  <si>
    <t xml:space="preserve">K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</si>
</sst>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#,##0"/>
    <numFmt numFmtId="167" formatCode="0%"/>
    <numFmt numFmtId="168" formatCode="0.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F766E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F766E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F766E"/>
        <bgColor rgb="FF008080"/>
      </patternFill>
    </fill>
    <fill>
      <patternFill patternType="solid">
        <fgColor rgb="FFFFF2CC"/>
        <bgColor rgb="FFFFE699"/>
      </patternFill>
    </fill>
    <fill>
      <patternFill patternType="solid">
        <fgColor rgb="FFF4B6B6"/>
        <bgColor rgb="FFFF99CC"/>
      </patternFill>
    </fill>
    <fill>
      <patternFill patternType="solid">
        <fgColor rgb="FFFFE699"/>
        <bgColor rgb="FFFFF2CC"/>
      </patternFill>
    </fill>
    <fill>
      <patternFill patternType="solid">
        <fgColor rgb="FFC6E0B4"/>
        <bgColor rgb="FFD9D9D9"/>
      </patternFill>
    </fill>
    <fill>
      <patternFill patternType="solid">
        <fgColor rgb="FFD9D9D9"/>
        <bgColor rgb="FFC6E0B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8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0F766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4B6B6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>
          <bgColor rgb="FFF4B6B6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F766E"/>
      <rgbColor rgb="FFC6E0B4"/>
      <rgbColor rgb="FF878787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4B6B6"/>
      <rgbColor rgb="FF3366FF"/>
      <rgbColor rgb="FF33CCCC"/>
      <rgbColor rgb="FF99CC00"/>
      <rgbColor rgb="FFFFCC00"/>
      <rgbColor rgb="FFBF8F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Карта рисков: вероятность × воздействие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"R1"</c:f>
              <c:strCache>
                <c:ptCount val="1"/>
                <c:pt idx="0">
                  <c:v>R1</c:v>
                </c:pt>
              </c:strCache>
            </c:strRef>
          </c:tx>
          <c:spPr>
            <a:solidFill>
              <a:srgbClr val="c00000"/>
            </a:solidFill>
            <a:ln w="47520">
              <a:noFill/>
            </a:ln>
          </c:spPr>
          <c:marker>
            <c:symbol val="circle"/>
            <c:size val="9"/>
            <c:spPr>
              <a:solidFill>
                <a:srgbClr val="c0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'Реестр рисков'!$G$5</c:f>
              <c:numCache>
                <c:formatCode>0.00</c:formatCode>
                <c:ptCount val="1"/>
                <c:pt idx="0">
                  <c:v>0.7</c:v>
                </c:pt>
              </c:numCache>
            </c:numRef>
          </c:xVal>
          <c:yVal>
            <c:numRef>
              <c:f>'Реестр рисков'!$H$5</c:f>
              <c:numCache>
                <c:formatCode>0.00</c:formatCode>
                <c:ptCount val="1"/>
                <c:pt idx="0">
                  <c:v>0.8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"R2"</c:f>
              <c:strCache>
                <c:ptCount val="1"/>
                <c:pt idx="0">
                  <c:v>R2</c:v>
                </c:pt>
              </c:strCache>
            </c:strRef>
          </c:tx>
          <c:spPr>
            <a:solidFill>
              <a:srgbClr val="c00000"/>
            </a:solidFill>
            <a:ln w="47520">
              <a:noFill/>
            </a:ln>
          </c:spPr>
          <c:marker>
            <c:symbol val="circle"/>
            <c:size val="9"/>
            <c:spPr>
              <a:solidFill>
                <a:srgbClr val="c0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'Реестр рисков'!$G$6</c:f>
              <c:numCache>
                <c:formatCode>0.00</c:formatCode>
                <c:ptCount val="1"/>
                <c:pt idx="0">
                  <c:v>0.6</c:v>
                </c:pt>
              </c:numCache>
            </c:numRef>
          </c:xVal>
          <c:yVal>
            <c:numRef>
              <c:f>'Реестр рисков'!$H$6</c:f>
              <c:numCache>
                <c:formatCode>0.00</c:formatCode>
                <c:ptCount val="1"/>
                <c:pt idx="0">
                  <c:v>0.9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"R3"</c:f>
              <c:strCache>
                <c:ptCount val="1"/>
                <c:pt idx="0">
                  <c:v>R3</c:v>
                </c:pt>
              </c:strCache>
            </c:strRef>
          </c:tx>
          <c:spPr>
            <a:solidFill>
              <a:srgbClr val="c00000"/>
            </a:solidFill>
            <a:ln w="47520">
              <a:noFill/>
            </a:ln>
          </c:spPr>
          <c:marker>
            <c:symbol val="circle"/>
            <c:size val="9"/>
            <c:spPr>
              <a:solidFill>
                <a:srgbClr val="c0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'Реестр рисков'!$G$7</c:f>
              <c:numCache>
                <c:formatCode>0.00</c:formatCode>
                <c:ptCount val="1"/>
                <c:pt idx="0">
                  <c:v>0.7</c:v>
                </c:pt>
              </c:numCache>
            </c:numRef>
          </c:xVal>
          <c:yVal>
            <c:numRef>
              <c:f>'Реестр рисков'!$H$7</c:f>
              <c:numCache>
                <c:formatCode>0.00</c:formatCode>
                <c:ptCount val="1"/>
                <c:pt idx="0">
                  <c:v>0.9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"R4"</c:f>
              <c:strCache>
                <c:ptCount val="1"/>
                <c:pt idx="0">
                  <c:v>R4</c:v>
                </c:pt>
              </c:strCache>
            </c:strRef>
          </c:tx>
          <c:spPr>
            <a:solidFill>
              <a:srgbClr val="c00000"/>
            </a:solidFill>
            <a:ln w="47520">
              <a:noFill/>
            </a:ln>
          </c:spPr>
          <c:marker>
            <c:symbol val="circle"/>
            <c:size val="9"/>
            <c:spPr>
              <a:solidFill>
                <a:srgbClr val="c0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'Реестр рисков'!$G$8</c:f>
              <c:numCache>
                <c:formatCode>0.00</c:formatCode>
                <c:ptCount val="1"/>
                <c:pt idx="0">
                  <c:v>0.8</c:v>
                </c:pt>
              </c:numCache>
            </c:numRef>
          </c:xVal>
          <c:yVal>
            <c:numRef>
              <c:f>'Реестр рисков'!$H$8</c:f>
              <c:numCache>
                <c:formatCode>0.00</c:formatCode>
                <c:ptCount val="1"/>
                <c:pt idx="0">
                  <c:v>0.7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"R5"</c:f>
              <c:strCache>
                <c:ptCount val="1"/>
                <c:pt idx="0">
                  <c:v>R5</c:v>
                </c:pt>
              </c:strCache>
            </c:strRef>
          </c:tx>
          <c:spPr>
            <a:solidFill>
              <a:srgbClr val="bf8f00"/>
            </a:solidFill>
            <a:ln w="47520">
              <a:noFill/>
            </a:ln>
          </c:spPr>
          <c:marker>
            <c:symbol val="circle"/>
            <c:size val="9"/>
            <c:spPr>
              <a:solidFill>
                <a:srgbClr val="bf8f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'Реестр рисков'!$G$9</c:f>
              <c:numCache>
                <c:formatCode>0.00</c:formatCode>
                <c:ptCount val="1"/>
                <c:pt idx="0">
                  <c:v>0.5</c:v>
                </c:pt>
              </c:numCache>
            </c:numRef>
          </c:xVal>
          <c:yVal>
            <c:numRef>
              <c:f>'Реестр рисков'!$H$9</c:f>
              <c:numCache>
                <c:formatCode>0.00</c:formatCode>
                <c:ptCount val="1"/>
                <c:pt idx="0">
                  <c:v>0.8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"R6"</c:f>
              <c:strCache>
                <c:ptCount val="1"/>
                <c:pt idx="0">
                  <c:v>R6</c:v>
                </c:pt>
              </c:strCache>
            </c:strRef>
          </c:tx>
          <c:spPr>
            <a:solidFill>
              <a:srgbClr val="bf8f00"/>
            </a:solidFill>
            <a:ln w="47520">
              <a:noFill/>
            </a:ln>
          </c:spPr>
          <c:marker>
            <c:symbol val="circle"/>
            <c:size val="9"/>
            <c:spPr>
              <a:solidFill>
                <a:srgbClr val="bf8f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'Реестр рисков'!$G$10</c:f>
              <c:numCache>
                <c:formatCode>0.00</c:formatCode>
                <c:ptCount val="1"/>
                <c:pt idx="0">
                  <c:v>0.6</c:v>
                </c:pt>
              </c:numCache>
            </c:numRef>
          </c:xVal>
          <c:yVal>
            <c:numRef>
              <c:f>'Реестр рисков'!$H$10</c:f>
              <c:numCache>
                <c:formatCode>0.00</c:formatCode>
                <c:ptCount val="1"/>
                <c:pt idx="0">
                  <c:v>0.6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"R7"</c:f>
              <c:strCache>
                <c:ptCount val="1"/>
                <c:pt idx="0">
                  <c:v>R7</c:v>
                </c:pt>
              </c:strCache>
            </c:strRef>
          </c:tx>
          <c:spPr>
            <a:solidFill>
              <a:srgbClr val="bf8f00"/>
            </a:solidFill>
            <a:ln w="47520">
              <a:noFill/>
            </a:ln>
          </c:spPr>
          <c:marker>
            <c:symbol val="circle"/>
            <c:size val="9"/>
            <c:spPr>
              <a:solidFill>
                <a:srgbClr val="bf8f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'Реестр рисков'!$G$11</c:f>
              <c:numCache>
                <c:formatCode>0.00</c:formatCode>
                <c:ptCount val="1"/>
                <c:pt idx="0">
                  <c:v>0.4</c:v>
                </c:pt>
              </c:numCache>
            </c:numRef>
          </c:xVal>
          <c:yVal>
            <c:numRef>
              <c:f>'Реестр рисков'!$H$11</c:f>
              <c:numCache>
                <c:formatCode>0.00</c:formatCode>
                <c:ptCount val="1"/>
                <c:pt idx="0">
                  <c:v>0.8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"R8"</c:f>
              <c:strCache>
                <c:ptCount val="1"/>
                <c:pt idx="0">
                  <c:v>R8</c:v>
                </c:pt>
              </c:strCache>
            </c:strRef>
          </c:tx>
          <c:spPr>
            <a:solidFill>
              <a:srgbClr val="bf8f00"/>
            </a:solidFill>
            <a:ln w="47520">
              <a:noFill/>
            </a:ln>
          </c:spPr>
          <c:marker>
            <c:symbol val="circle"/>
            <c:size val="9"/>
            <c:spPr>
              <a:solidFill>
                <a:srgbClr val="bf8f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'Реестр рисков'!$G$12</c:f>
              <c:numCache>
                <c:formatCode>0.00</c:formatCode>
                <c:ptCount val="1"/>
                <c:pt idx="0">
                  <c:v>0.5</c:v>
                </c:pt>
              </c:numCache>
            </c:numRef>
          </c:xVal>
          <c:yVal>
            <c:numRef>
              <c:f>'Реестр рисков'!$H$12</c:f>
              <c:numCache>
                <c:formatCode>0.00</c:formatCode>
                <c:ptCount val="1"/>
                <c:pt idx="0">
                  <c:v>0.6</c:v>
                </c:pt>
              </c:numCache>
            </c:numRef>
          </c:yVal>
          <c:smooth val="1"/>
        </c:ser>
        <c:ser>
          <c:idx val="8"/>
          <c:order val="8"/>
          <c:tx>
            <c:strRef>
              <c:f>"R9"</c:f>
              <c:strCache>
                <c:ptCount val="1"/>
                <c:pt idx="0">
                  <c:v>R9</c:v>
                </c:pt>
              </c:strCache>
            </c:strRef>
          </c:tx>
          <c:spPr>
            <a:solidFill>
              <a:srgbClr val="bf8f00"/>
            </a:solidFill>
            <a:ln w="47520">
              <a:noFill/>
            </a:ln>
          </c:spPr>
          <c:marker>
            <c:symbol val="circle"/>
            <c:size val="9"/>
            <c:spPr>
              <a:solidFill>
                <a:srgbClr val="bf8f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'Реестр рисков'!$G$13</c:f>
              <c:numCache>
                <c:formatCode>0.00</c:formatCode>
                <c:ptCount val="1"/>
                <c:pt idx="0">
                  <c:v>0.5</c:v>
                </c:pt>
              </c:numCache>
            </c:numRef>
          </c:xVal>
          <c:yVal>
            <c:numRef>
              <c:f>'Реестр рисков'!$H$13</c:f>
              <c:numCache>
                <c:formatCode>0.00</c:formatCode>
                <c:ptCount val="1"/>
                <c:pt idx="0">
                  <c:v>0.7</c:v>
                </c:pt>
              </c:numCache>
            </c:numRef>
          </c:yVal>
          <c:smooth val="1"/>
        </c:ser>
        <c:ser>
          <c:idx val="9"/>
          <c:order val="9"/>
          <c:tx>
            <c:strRef>
              <c:f>"R10"</c:f>
              <c:strCache>
                <c:ptCount val="1"/>
                <c:pt idx="0">
                  <c:v>R10</c:v>
                </c:pt>
              </c:strCache>
            </c:strRef>
          </c:tx>
          <c:spPr>
            <a:solidFill>
              <a:srgbClr val="bf8f00"/>
            </a:solidFill>
            <a:ln w="47520">
              <a:noFill/>
            </a:ln>
          </c:spPr>
          <c:marker>
            <c:symbol val="circle"/>
            <c:size val="9"/>
            <c:spPr>
              <a:solidFill>
                <a:srgbClr val="bf8f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'Реестр рисков'!$G$14</c:f>
              <c:numCache>
                <c:formatCode>0.00</c:formatCode>
                <c:ptCount val="1"/>
                <c:pt idx="0">
                  <c:v>0.4</c:v>
                </c:pt>
              </c:numCache>
            </c:numRef>
          </c:xVal>
          <c:yVal>
            <c:numRef>
              <c:f>'Реестр рисков'!$H$14</c:f>
              <c:numCache>
                <c:formatCode>0.00</c:formatCode>
                <c:ptCount val="1"/>
                <c:pt idx="0">
                  <c:v>0.6</c:v>
                </c:pt>
              </c:numCache>
            </c:numRef>
          </c:yVal>
          <c:smooth val="1"/>
        </c:ser>
        <c:ser>
          <c:idx val="10"/>
          <c:order val="10"/>
          <c:tx>
            <c:strRef>
              <c:f>"R11"</c:f>
              <c:strCache>
                <c:ptCount val="1"/>
                <c:pt idx="0">
                  <c:v>R11</c:v>
                </c:pt>
              </c:strCache>
            </c:strRef>
          </c:tx>
          <c:spPr>
            <a:solidFill>
              <a:srgbClr val="bf8f00"/>
            </a:solidFill>
            <a:ln w="47520">
              <a:noFill/>
            </a:ln>
          </c:spPr>
          <c:marker>
            <c:symbol val="circle"/>
            <c:size val="9"/>
            <c:spPr>
              <a:solidFill>
                <a:srgbClr val="bf8f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'Реестр рисков'!$G$15</c:f>
              <c:numCache>
                <c:formatCode>0.00</c:formatCode>
                <c:ptCount val="1"/>
                <c:pt idx="0">
                  <c:v>0.4</c:v>
                </c:pt>
              </c:numCache>
            </c:numRef>
          </c:xVal>
          <c:yVal>
            <c:numRef>
              <c:f>'Реестр рисков'!$H$15</c:f>
              <c:numCache>
                <c:formatCode>0.00</c:formatCode>
                <c:ptCount val="1"/>
                <c:pt idx="0">
                  <c:v>0.7</c:v>
                </c:pt>
              </c:numCache>
            </c:numRef>
          </c:yVal>
          <c:smooth val="1"/>
        </c:ser>
        <c:ser>
          <c:idx val="11"/>
          <c:order val="11"/>
          <c:tx>
            <c:strRef>
              <c:f>"R12"</c:f>
              <c:strCache>
                <c:ptCount val="1"/>
                <c:pt idx="0">
                  <c:v>R12</c:v>
                </c:pt>
              </c:strCache>
            </c:strRef>
          </c:tx>
          <c:spPr>
            <a:solidFill>
              <a:srgbClr val="bf8f00"/>
            </a:solidFill>
            <a:ln w="47520">
              <a:noFill/>
            </a:ln>
          </c:spPr>
          <c:marker>
            <c:symbol val="circle"/>
            <c:size val="9"/>
            <c:spPr>
              <a:solidFill>
                <a:srgbClr val="bf8f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'Реестр рисков'!$G$16</c:f>
              <c:numCache>
                <c:formatCode>0.00</c:formatCode>
                <c:ptCount val="1"/>
                <c:pt idx="0">
                  <c:v>0.3</c:v>
                </c:pt>
              </c:numCache>
            </c:numRef>
          </c:xVal>
          <c:yVal>
            <c:numRef>
              <c:f>'Реестр рисков'!$H$16</c:f>
              <c:numCache>
                <c:formatCode>0.00</c:formatCode>
                <c:ptCount val="1"/>
                <c:pt idx="0">
                  <c:v>0.8</c:v>
                </c:pt>
              </c:numCache>
            </c:numRef>
          </c:yVal>
          <c:smooth val="1"/>
        </c:ser>
        <c:ser>
          <c:idx val="12"/>
          <c:order val="12"/>
          <c:tx>
            <c:strRef>
              <c:f>"R13"</c:f>
              <c:strCache>
                <c:ptCount val="1"/>
                <c:pt idx="0">
                  <c:v>R13</c:v>
                </c:pt>
              </c:strCache>
            </c:strRef>
          </c:tx>
          <c:spPr>
            <a:solidFill>
              <a:srgbClr val="bf8f00"/>
            </a:solidFill>
            <a:ln w="47520">
              <a:noFill/>
            </a:ln>
          </c:spPr>
          <c:marker>
            <c:symbol val="circle"/>
            <c:size val="9"/>
            <c:spPr>
              <a:solidFill>
                <a:srgbClr val="bf8f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'Реестр рисков'!$G$17</c:f>
              <c:numCache>
                <c:formatCode>0.00</c:formatCode>
                <c:ptCount val="1"/>
                <c:pt idx="0">
                  <c:v>0.3</c:v>
                </c:pt>
              </c:numCache>
            </c:numRef>
          </c:xVal>
          <c:yVal>
            <c:numRef>
              <c:f>'Реестр рисков'!$H$17</c:f>
              <c:numCache>
                <c:formatCode>0.00</c:formatCode>
                <c:ptCount val="1"/>
                <c:pt idx="0">
                  <c:v>0.9</c:v>
                </c:pt>
              </c:numCache>
            </c:numRef>
          </c:yVal>
          <c:smooth val="1"/>
        </c:ser>
        <c:ser>
          <c:idx val="13"/>
          <c:order val="13"/>
          <c:tx>
            <c:strRef>
              <c:f>"R14"</c:f>
              <c:strCache>
                <c:ptCount val="1"/>
                <c:pt idx="0">
                  <c:v>R14</c:v>
                </c:pt>
              </c:strCache>
            </c:strRef>
          </c:tx>
          <c:spPr>
            <a:solidFill>
              <a:srgbClr val="bf8f00"/>
            </a:solidFill>
            <a:ln w="47520">
              <a:noFill/>
            </a:ln>
          </c:spPr>
          <c:marker>
            <c:symbol val="circle"/>
            <c:size val="9"/>
            <c:spPr>
              <a:solidFill>
                <a:srgbClr val="bf8f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'Реестр рисков'!$G$18</c:f>
              <c:numCache>
                <c:formatCode>0.00</c:formatCode>
                <c:ptCount val="1"/>
                <c:pt idx="0">
                  <c:v>0.5</c:v>
                </c:pt>
              </c:numCache>
            </c:numRef>
          </c:xVal>
          <c:yVal>
            <c:numRef>
              <c:f>'Реестр рисков'!$H$18</c:f>
              <c:numCache>
                <c:formatCode>0.00</c:formatCode>
                <c:ptCount val="1"/>
                <c:pt idx="0">
                  <c:v>0.5</c:v>
                </c:pt>
              </c:numCache>
            </c:numRef>
          </c:yVal>
          <c:smooth val="1"/>
        </c:ser>
        <c:ser>
          <c:idx val="14"/>
          <c:order val="14"/>
          <c:tx>
            <c:strRef>
              <c:f>"R15"</c:f>
              <c:strCache>
                <c:ptCount val="1"/>
                <c:pt idx="0">
                  <c:v>R15</c:v>
                </c:pt>
              </c:strCache>
            </c:strRef>
          </c:tx>
          <c:spPr>
            <a:solidFill>
              <a:srgbClr val="bf8f00"/>
            </a:solidFill>
            <a:ln w="47520">
              <a:noFill/>
            </a:ln>
          </c:spPr>
          <c:marker>
            <c:symbol val="circle"/>
            <c:size val="9"/>
            <c:spPr>
              <a:solidFill>
                <a:srgbClr val="bf8f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'Реестр рисков'!$G$19</c:f>
              <c:numCache>
                <c:formatCode>0.00</c:formatCode>
                <c:ptCount val="1"/>
                <c:pt idx="0">
                  <c:v>0.6</c:v>
                </c:pt>
              </c:numCache>
            </c:numRef>
          </c:xVal>
          <c:yVal>
            <c:numRef>
              <c:f>'Реестр рисков'!$H$19</c:f>
              <c:numCache>
                <c:formatCode>0.00</c:formatCode>
                <c:ptCount val="1"/>
                <c:pt idx="0">
                  <c:v>0.4</c:v>
                </c:pt>
              </c:numCache>
            </c:numRef>
          </c:yVal>
          <c:smooth val="1"/>
        </c:ser>
        <c:ser>
          <c:idx val="15"/>
          <c:order val="15"/>
          <c:tx>
            <c:strRef>
              <c:f>"R16"</c:f>
              <c:strCache>
                <c:ptCount val="1"/>
                <c:pt idx="0">
                  <c:v>R16</c:v>
                </c:pt>
              </c:strCache>
            </c:strRef>
          </c:tx>
          <c:spPr>
            <a:solidFill>
              <a:srgbClr val="bf8f00"/>
            </a:solidFill>
            <a:ln w="47520">
              <a:noFill/>
            </a:ln>
          </c:spPr>
          <c:marker>
            <c:symbol val="circle"/>
            <c:size val="9"/>
            <c:spPr>
              <a:solidFill>
                <a:srgbClr val="bf8f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'Реестр рисков'!$G$20</c:f>
              <c:numCache>
                <c:formatCode>0.00</c:formatCode>
                <c:ptCount val="1"/>
                <c:pt idx="0">
                  <c:v>0.2</c:v>
                </c:pt>
              </c:numCache>
            </c:numRef>
          </c:xVal>
          <c:yVal>
            <c:numRef>
              <c:f>'Реестр рисков'!$H$20</c:f>
              <c:numCache>
                <c:formatCode>0.00</c:formatCode>
                <c:ptCount val="1"/>
                <c:pt idx="0">
                  <c:v>1</c:v>
                </c:pt>
              </c:numCache>
            </c:numRef>
          </c:yVal>
          <c:smooth val="1"/>
        </c:ser>
        <c:ser>
          <c:idx val="16"/>
          <c:order val="16"/>
          <c:tx>
            <c:strRef>
              <c:f>"R17"</c:f>
              <c:strCache>
                <c:ptCount val="1"/>
                <c:pt idx="0">
                  <c:v>R17</c:v>
                </c:pt>
              </c:strCache>
            </c:strRef>
          </c:tx>
          <c:spPr>
            <a:solidFill>
              <a:srgbClr val="548235"/>
            </a:solidFill>
            <a:ln w="47520">
              <a:noFill/>
            </a:ln>
          </c:spPr>
          <c:marker>
            <c:symbol val="circle"/>
            <c:size val="9"/>
            <c:spPr>
              <a:solidFill>
                <a:srgbClr val="548235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'Реестр рисков'!$G$21</c:f>
              <c:numCache>
                <c:formatCode>0.00</c:formatCode>
                <c:ptCount val="1"/>
                <c:pt idx="0">
                  <c:v>0.2</c:v>
                </c:pt>
              </c:numCache>
            </c:numRef>
          </c:xVal>
          <c:yVal>
            <c:numRef>
              <c:f>'Реестр рисков'!$H$21</c:f>
              <c:numCache>
                <c:formatCode>0.00</c:formatCode>
                <c:ptCount val="1"/>
                <c:pt idx="0">
                  <c:v>0.6</c:v>
                </c:pt>
              </c:numCache>
            </c:numRef>
          </c:yVal>
          <c:smooth val="1"/>
        </c:ser>
        <c:ser>
          <c:idx val="17"/>
          <c:order val="17"/>
          <c:tx>
            <c:strRef>
              <c:f>"R18"</c:f>
              <c:strCache>
                <c:ptCount val="1"/>
                <c:pt idx="0">
                  <c:v>R18</c:v>
                </c:pt>
              </c:strCache>
            </c:strRef>
          </c:tx>
          <c:spPr>
            <a:solidFill>
              <a:srgbClr val="bf8f00"/>
            </a:solidFill>
            <a:ln w="47520">
              <a:noFill/>
            </a:ln>
          </c:spPr>
          <c:marker>
            <c:symbol val="circle"/>
            <c:size val="9"/>
            <c:spPr>
              <a:solidFill>
                <a:srgbClr val="bf8f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'Реестр рисков'!$G$22</c:f>
              <c:numCache>
                <c:formatCode>0.00</c:formatCode>
                <c:ptCount val="1"/>
                <c:pt idx="0">
                  <c:v>0.4</c:v>
                </c:pt>
              </c:numCache>
            </c:numRef>
          </c:xVal>
          <c:yVal>
            <c:numRef>
              <c:f>'Реестр рисков'!$H$22</c:f>
              <c:numCache>
                <c:formatCode>0.00</c:formatCode>
                <c:ptCount val="1"/>
                <c:pt idx="0">
                  <c:v>0.5</c:v>
                </c:pt>
              </c:numCache>
            </c:numRef>
          </c:yVal>
          <c:smooth val="1"/>
        </c:ser>
        <c:ser>
          <c:idx val="18"/>
          <c:order val="18"/>
          <c:tx>
            <c:strRef>
              <c:f>"R19"</c:f>
              <c:strCache>
                <c:ptCount val="1"/>
                <c:pt idx="0">
                  <c:v>R19</c:v>
                </c:pt>
              </c:strCache>
            </c:strRef>
          </c:tx>
          <c:spPr>
            <a:solidFill>
              <a:srgbClr val="548235"/>
            </a:solidFill>
            <a:ln w="47520">
              <a:noFill/>
            </a:ln>
          </c:spPr>
          <c:marker>
            <c:symbol val="circle"/>
            <c:size val="9"/>
            <c:spPr>
              <a:solidFill>
                <a:srgbClr val="548235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'Реестр рисков'!$G$23</c:f>
              <c:numCache>
                <c:formatCode>0.00</c:formatCode>
                <c:ptCount val="1"/>
                <c:pt idx="0">
                  <c:v>0.4</c:v>
                </c:pt>
              </c:numCache>
            </c:numRef>
          </c:xVal>
          <c:yVal>
            <c:numRef>
              <c:f>'Реестр рисков'!$H$23</c:f>
              <c:numCache>
                <c:formatCode>0.00</c:formatCode>
                <c:ptCount val="1"/>
                <c:pt idx="0">
                  <c:v>0.3</c:v>
                </c:pt>
              </c:numCache>
            </c:numRef>
          </c:yVal>
          <c:smooth val="1"/>
        </c:ser>
        <c:axId val="73693822"/>
        <c:axId val="30939885"/>
      </c:scatterChart>
      <c:valAx>
        <c:axId val="73693822"/>
        <c:scaling>
          <c:orientation val="minMax"/>
          <c:max val="1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Вероятность 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939885"/>
        <c:crosses val="autoZero"/>
        <c:crossBetween val="midCat"/>
        <c:majorUnit val="0.2"/>
      </c:valAx>
      <c:valAx>
        <c:axId val="30939885"/>
        <c:scaling>
          <c:orientation val="minMax"/>
          <c:max val="1.05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Воздействие 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693822"/>
        <c:crosses val="autoZero"/>
        <c:crossBetween val="midCat"/>
        <c:majorUnit val="0.2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</xdr:row>
      <xdr:rowOff>160920</xdr:rowOff>
    </xdr:from>
    <xdr:to>
      <xdr:col>24</xdr:col>
      <xdr:colOff>4320</xdr:colOff>
      <xdr:row>15</xdr:row>
      <xdr:rowOff>99000</xdr:rowOff>
    </xdr:to>
    <xdr:graphicFrame>
      <xdr:nvGraphicFramePr>
        <xdr:cNvPr id="0" name="Chart 1"/>
        <xdr:cNvGraphicFramePr/>
      </xdr:nvGraphicFramePr>
      <xdr:xfrm>
        <a:off x="8204040" y="571680"/>
        <a:ext cx="61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40"/>
    <col collapsed="false" customWidth="true" hidden="false" outlineLevel="0" max="4" min="4" style="0" width="14"/>
    <col collapsed="false" customWidth="true" hidden="false" outlineLevel="0" max="6" min="5" style="0" width="28"/>
    <col collapsed="false" customWidth="true" hidden="false" outlineLevel="0" max="9" min="7" style="0" width="9"/>
    <col collapsed="false" customWidth="true" hidden="false" outlineLevel="0" max="10" min="10" style="0" width="11"/>
    <col collapsed="false" customWidth="true" hidden="false" outlineLevel="0" max="11" min="11" style="0" width="13"/>
    <col collapsed="false" customWidth="true" hidden="false" outlineLevel="0" max="12" min="12" style="0" width="50"/>
    <col collapsed="false" customWidth="true" hidden="false" outlineLevel="0" max="13" min="13" style="0" width="17"/>
    <col collapsed="false" customWidth="true" hidden="false" outlineLevel="0" max="14" min="14" style="0" width="11"/>
    <col collapsed="false" customWidth="true" hidden="false" outlineLevel="0" max="16" min="15" style="0" width="12"/>
    <col collapsed="false" customWidth="true" hidden="false" outlineLevel="0" max="17" min="17" style="0" width="10"/>
    <col collapsed="false" customWidth="true" hidden="false" outlineLevel="0" max="18" min="18" style="0" width="22"/>
    <col collapsed="false" customWidth="true" hidden="false" outlineLevel="0" max="20" min="19" style="0" width="8"/>
    <col collapsed="false" customWidth="true" hidden="false" outlineLevel="0" max="21" min="21" style="0" width="10"/>
    <col collapsed="false" customWidth="true" hidden="false" outlineLevel="0" max="22" min="22" style="0" width="11"/>
    <col collapsed="false" customWidth="true" hidden="false" outlineLevel="0" max="23" min="23" style="0" width="7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5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</row>
    <row r="5" customFormat="false" ht="63.75" hidden="false" customHeight="true" outlineLevel="0" collapsed="false">
      <c r="A5" s="4" t="n">
        <v>1</v>
      </c>
      <c r="B5" s="5" t="str">
        <f aca="false">"R"&amp;A5</f>
        <v>R1</v>
      </c>
      <c r="C5" s="6" t="s">
        <v>25</v>
      </c>
      <c r="D5" s="4" t="s">
        <v>26</v>
      </c>
      <c r="E5" s="6" t="s">
        <v>27</v>
      </c>
      <c r="F5" s="6" t="s">
        <v>28</v>
      </c>
      <c r="G5" s="7" t="n">
        <v>0.7</v>
      </c>
      <c r="H5" s="7" t="n">
        <v>0.8</v>
      </c>
      <c r="I5" s="8" t="n">
        <f aca="false">G5*H5</f>
        <v>0.56</v>
      </c>
      <c r="J5" s="4" t="str">
        <f aca="false">IF(I5&gt;'Шкалы оценки'!$B$21,"Высокий",IF(I5&gt;='Шкалы оценки'!$B$22,"Средний","Низкий"))</f>
        <v>Высокий</v>
      </c>
      <c r="K5" s="4" t="s">
        <v>29</v>
      </c>
      <c r="L5" s="6" t="s">
        <v>30</v>
      </c>
      <c r="M5" s="6" t="s">
        <v>31</v>
      </c>
      <c r="N5" s="4" t="s">
        <v>32</v>
      </c>
      <c r="O5" s="9" t="n">
        <v>45000</v>
      </c>
      <c r="P5" s="10" t="n">
        <f aca="false">G5*O5</f>
        <v>31500</v>
      </c>
      <c r="Q5" s="9" t="n">
        <v>5000</v>
      </c>
      <c r="R5" s="6" t="str">
        <f aca="false">IF(K5="Принятие","Принятие: покрывается резервом",IF(Q5&lt;P5,"Оправданы (затраты &lt; ожид. потерь)","Пересмотреть меры"))</f>
        <v>Оправданы (затраты &lt; ожид. потерь)</v>
      </c>
      <c r="S5" s="7" t="n">
        <v>0.5</v>
      </c>
      <c r="T5" s="7" t="n">
        <v>0.6</v>
      </c>
      <c r="U5" s="8" t="n">
        <f aca="false">S5*T5</f>
        <v>0.3</v>
      </c>
      <c r="V5" s="4" t="str">
        <f aca="false">IF(U5&gt;'Шкалы оценки'!$B$21,"Высокий",IF(U5&gt;='Шкалы оценки'!$B$22,"Средний","Низкий"))</f>
        <v>Средний</v>
      </c>
      <c r="W5" s="4" t="n">
        <f aca="false">RANK(I5,$I$5:$I$23)+COUNTIF($I$5:I5,I5)-1</f>
        <v>2</v>
      </c>
    </row>
    <row r="6" customFormat="false" ht="63.75" hidden="false" customHeight="true" outlineLevel="0" collapsed="false">
      <c r="A6" s="4" t="n">
        <v>2</v>
      </c>
      <c r="B6" s="5" t="str">
        <f aca="false">"R"&amp;A6</f>
        <v>R2</v>
      </c>
      <c r="C6" s="6" t="s">
        <v>33</v>
      </c>
      <c r="D6" s="4" t="s">
        <v>34</v>
      </c>
      <c r="E6" s="6" t="s">
        <v>35</v>
      </c>
      <c r="F6" s="6" t="s">
        <v>36</v>
      </c>
      <c r="G6" s="7" t="n">
        <v>0.6</v>
      </c>
      <c r="H6" s="7" t="n">
        <v>0.9</v>
      </c>
      <c r="I6" s="8" t="n">
        <f aca="false">G6*H6</f>
        <v>0.54</v>
      </c>
      <c r="J6" s="4" t="str">
        <f aca="false">IF(I6&gt;'Шкалы оценки'!$B$21,"Высокий",IF(I6&gt;='Шкалы оценки'!$B$22,"Средний","Низкий"))</f>
        <v>Высокий</v>
      </c>
      <c r="K6" s="4" t="s">
        <v>29</v>
      </c>
      <c r="L6" s="6" t="s">
        <v>37</v>
      </c>
      <c r="M6" s="6" t="s">
        <v>38</v>
      </c>
      <c r="N6" s="4" t="s">
        <v>39</v>
      </c>
      <c r="O6" s="9" t="n">
        <v>70000</v>
      </c>
      <c r="P6" s="10" t="n">
        <f aca="false">G6*O6</f>
        <v>42000</v>
      </c>
      <c r="Q6" s="9" t="n">
        <v>8000</v>
      </c>
      <c r="R6" s="6" t="str">
        <f aca="false">IF(K6="Принятие","Принятие: покрывается резервом",IF(Q6&lt;P6,"Оправданы (затраты &lt; ожид. потерь)","Пересмотреть меры"))</f>
        <v>Оправданы (затраты &lt; ожид. потерь)</v>
      </c>
      <c r="S6" s="7" t="n">
        <v>0.3</v>
      </c>
      <c r="T6" s="7" t="n">
        <v>0.6</v>
      </c>
      <c r="U6" s="8" t="n">
        <f aca="false">S6*T6</f>
        <v>0.18</v>
      </c>
      <c r="V6" s="4" t="str">
        <f aca="false">IF(U6&gt;'Шкалы оценки'!$B$21,"Высокий",IF(U6&gt;='Шкалы оценки'!$B$22,"Средний","Низкий"))</f>
        <v>Средний</v>
      </c>
      <c r="W6" s="4" t="n">
        <f aca="false">RANK(I6,$I$5:$I$23)+COUNTIF($I$5:I6,I6)-1</f>
        <v>4</v>
      </c>
    </row>
    <row r="7" customFormat="false" ht="63.75" hidden="false" customHeight="true" outlineLevel="0" collapsed="false">
      <c r="A7" s="4" t="n">
        <v>3</v>
      </c>
      <c r="B7" s="5" t="str">
        <f aca="false">"R"&amp;A7</f>
        <v>R3</v>
      </c>
      <c r="C7" s="6" t="s">
        <v>40</v>
      </c>
      <c r="D7" s="4" t="s">
        <v>26</v>
      </c>
      <c r="E7" s="6" t="s">
        <v>41</v>
      </c>
      <c r="F7" s="6" t="s">
        <v>42</v>
      </c>
      <c r="G7" s="7" t="n">
        <v>0.7</v>
      </c>
      <c r="H7" s="7" t="n">
        <v>0.9</v>
      </c>
      <c r="I7" s="8" t="n">
        <f aca="false">G7*H7</f>
        <v>0.63</v>
      </c>
      <c r="J7" s="4" t="str">
        <f aca="false">IF(I7&gt;'Шкалы оценки'!$B$21,"Высокий",IF(I7&gt;='Шкалы оценки'!$B$22,"Средний","Низкий"))</f>
        <v>Высокий</v>
      </c>
      <c r="K7" s="4" t="s">
        <v>29</v>
      </c>
      <c r="L7" s="6" t="s">
        <v>43</v>
      </c>
      <c r="M7" s="6" t="s">
        <v>31</v>
      </c>
      <c r="N7" s="4" t="s">
        <v>44</v>
      </c>
      <c r="O7" s="9" t="n">
        <v>70000</v>
      </c>
      <c r="P7" s="10" t="n">
        <f aca="false">G7*O7</f>
        <v>49000</v>
      </c>
      <c r="Q7" s="9" t="n">
        <v>4000</v>
      </c>
      <c r="R7" s="6" t="str">
        <f aca="false">IF(K7="Принятие","Принятие: покрывается резервом",IF(Q7&lt;P7,"Оправданы (затраты &lt; ожид. потерь)","Пересмотреть меры"))</f>
        <v>Оправданы (затраты &lt; ожид. потерь)</v>
      </c>
      <c r="S7" s="7" t="n">
        <v>0.4</v>
      </c>
      <c r="T7" s="7" t="n">
        <v>0.6</v>
      </c>
      <c r="U7" s="8" t="n">
        <f aca="false">S7*T7</f>
        <v>0.24</v>
      </c>
      <c r="V7" s="4" t="str">
        <f aca="false">IF(U7&gt;'Шкалы оценки'!$B$21,"Высокий",IF(U7&gt;='Шкалы оценки'!$B$22,"Средний","Низкий"))</f>
        <v>Средний</v>
      </c>
      <c r="W7" s="4" t="n">
        <f aca="false">RANK(I7,$I$5:$I$23)+COUNTIF($I$5:I7,I7)-1</f>
        <v>1</v>
      </c>
    </row>
    <row r="8" customFormat="false" ht="63.75" hidden="false" customHeight="true" outlineLevel="0" collapsed="false">
      <c r="A8" s="4" t="n">
        <v>4</v>
      </c>
      <c r="B8" s="5" t="str">
        <f aca="false">"R"&amp;A8</f>
        <v>R4</v>
      </c>
      <c r="C8" s="6" t="s">
        <v>45</v>
      </c>
      <c r="D8" s="4" t="s">
        <v>46</v>
      </c>
      <c r="E8" s="6" t="s">
        <v>47</v>
      </c>
      <c r="F8" s="6" t="s">
        <v>48</v>
      </c>
      <c r="G8" s="7" t="n">
        <v>0.8</v>
      </c>
      <c r="H8" s="7" t="n">
        <v>0.7</v>
      </c>
      <c r="I8" s="8" t="n">
        <f aca="false">G8*H8</f>
        <v>0.56</v>
      </c>
      <c r="J8" s="4" t="str">
        <f aca="false">IF(I8&gt;'Шкалы оценки'!$B$21,"Высокий",IF(I8&gt;='Шкалы оценки'!$B$22,"Средний","Низкий"))</f>
        <v>Высокий</v>
      </c>
      <c r="K8" s="4" t="s">
        <v>29</v>
      </c>
      <c r="L8" s="6" t="s">
        <v>49</v>
      </c>
      <c r="M8" s="6" t="s">
        <v>50</v>
      </c>
      <c r="N8" s="4" t="s">
        <v>51</v>
      </c>
      <c r="O8" s="9" t="n">
        <v>40000</v>
      </c>
      <c r="P8" s="10" t="n">
        <f aca="false">G8*O8</f>
        <v>32000</v>
      </c>
      <c r="Q8" s="9" t="n">
        <v>3000</v>
      </c>
      <c r="R8" s="6" t="str">
        <f aca="false">IF(K8="Принятие","Принятие: покрывается резервом",IF(Q8&lt;P8,"Оправданы (затраты &lt; ожид. потерь)","Пересмотреть меры"))</f>
        <v>Оправданы (затраты &lt; ожид. потерь)</v>
      </c>
      <c r="S8" s="7" t="n">
        <v>0.4</v>
      </c>
      <c r="T8" s="7" t="n">
        <v>0.5</v>
      </c>
      <c r="U8" s="8" t="n">
        <f aca="false">S8*T8</f>
        <v>0.2</v>
      </c>
      <c r="V8" s="4" t="str">
        <f aca="false">IF(U8&gt;'Шкалы оценки'!$B$21,"Высокий",IF(U8&gt;='Шкалы оценки'!$B$22,"Средний","Низкий"))</f>
        <v>Средний</v>
      </c>
      <c r="W8" s="4" t="n">
        <f aca="false">RANK(I8,$I$5:$I$23)+COUNTIF($I$5:I8,I8)-1</f>
        <v>3</v>
      </c>
    </row>
    <row r="9" customFormat="false" ht="63.75" hidden="false" customHeight="true" outlineLevel="0" collapsed="false">
      <c r="A9" s="4" t="n">
        <v>5</v>
      </c>
      <c r="B9" s="5" t="str">
        <f aca="false">"R"&amp;A9</f>
        <v>R5</v>
      </c>
      <c r="C9" s="6" t="s">
        <v>52</v>
      </c>
      <c r="D9" s="4" t="s">
        <v>26</v>
      </c>
      <c r="E9" s="6" t="s">
        <v>53</v>
      </c>
      <c r="F9" s="6" t="s">
        <v>54</v>
      </c>
      <c r="G9" s="7" t="n">
        <v>0.5</v>
      </c>
      <c r="H9" s="7" t="n">
        <v>0.8</v>
      </c>
      <c r="I9" s="8" t="n">
        <f aca="false">G9*H9</f>
        <v>0.4</v>
      </c>
      <c r="J9" s="4" t="str">
        <f aca="false">IF(I9&gt;'Шкалы оценки'!$B$21,"Высокий",IF(I9&gt;='Шкалы оценки'!$B$22,"Средний","Низкий"))</f>
        <v>Средний</v>
      </c>
      <c r="K9" s="4" t="s">
        <v>29</v>
      </c>
      <c r="L9" s="6" t="s">
        <v>55</v>
      </c>
      <c r="M9" s="6" t="s">
        <v>50</v>
      </c>
      <c r="N9" s="4" t="s">
        <v>56</v>
      </c>
      <c r="O9" s="9" t="n">
        <v>35000</v>
      </c>
      <c r="P9" s="10" t="n">
        <f aca="false">G9*O9</f>
        <v>17500</v>
      </c>
      <c r="Q9" s="9" t="n">
        <v>3000</v>
      </c>
      <c r="R9" s="6" t="str">
        <f aca="false">IF(K9="Принятие","Принятие: покрывается резервом",IF(Q9&lt;P9,"Оправданы (затраты &lt; ожид. потерь)","Пересмотреть меры"))</f>
        <v>Оправданы (затраты &lt; ожид. потерь)</v>
      </c>
      <c r="S9" s="7" t="n">
        <v>0.3</v>
      </c>
      <c r="T9" s="7" t="n">
        <v>0.7</v>
      </c>
      <c r="U9" s="8" t="n">
        <f aca="false">S9*T9</f>
        <v>0.21</v>
      </c>
      <c r="V9" s="4" t="str">
        <f aca="false">IF(U9&gt;'Шкалы оценки'!$B$21,"Высокий",IF(U9&gt;='Шкалы оценки'!$B$22,"Средний","Низкий"))</f>
        <v>Средний</v>
      </c>
      <c r="W9" s="4" t="n">
        <f aca="false">RANK(I9,$I$5:$I$23)+COUNTIF($I$5:I9,I9)-1</f>
        <v>5</v>
      </c>
    </row>
    <row r="10" customFormat="false" ht="63.75" hidden="false" customHeight="true" outlineLevel="0" collapsed="false">
      <c r="A10" s="4" t="n">
        <v>6</v>
      </c>
      <c r="B10" s="5" t="str">
        <f aca="false">"R"&amp;A10</f>
        <v>R6</v>
      </c>
      <c r="C10" s="6" t="s">
        <v>57</v>
      </c>
      <c r="D10" s="4" t="s">
        <v>34</v>
      </c>
      <c r="E10" s="6" t="s">
        <v>58</v>
      </c>
      <c r="F10" s="6" t="s">
        <v>59</v>
      </c>
      <c r="G10" s="7" t="n">
        <v>0.6</v>
      </c>
      <c r="H10" s="7" t="n">
        <v>0.6</v>
      </c>
      <c r="I10" s="8" t="n">
        <f aca="false">G10*H10</f>
        <v>0.36</v>
      </c>
      <c r="J10" s="4" t="str">
        <f aca="false">IF(I10&gt;'Шкалы оценки'!$B$21,"Высокий",IF(I10&gt;='Шкалы оценки'!$B$22,"Средний","Низкий"))</f>
        <v>Средний</v>
      </c>
      <c r="K10" s="4" t="s">
        <v>29</v>
      </c>
      <c r="L10" s="6" t="s">
        <v>60</v>
      </c>
      <c r="M10" s="6" t="s">
        <v>61</v>
      </c>
      <c r="N10" s="4" t="s">
        <v>62</v>
      </c>
      <c r="O10" s="9" t="n">
        <v>20000</v>
      </c>
      <c r="P10" s="10" t="n">
        <f aca="false">G10*O10</f>
        <v>12000</v>
      </c>
      <c r="Q10" s="9" t="n">
        <v>4000</v>
      </c>
      <c r="R10" s="6" t="str">
        <f aca="false">IF(K10="Принятие","Принятие: покрывается резервом",IF(Q10&lt;P10,"Оправданы (затраты &lt; ожид. потерь)","Пересмотреть меры"))</f>
        <v>Оправданы (затраты &lt; ожид. потерь)</v>
      </c>
      <c r="S10" s="7" t="n">
        <v>0.4</v>
      </c>
      <c r="T10" s="7" t="n">
        <v>0.4</v>
      </c>
      <c r="U10" s="8" t="n">
        <f aca="false">S10*T10</f>
        <v>0.16</v>
      </c>
      <c r="V10" s="4" t="str">
        <f aca="false">IF(U10&gt;'Шкалы оценки'!$B$21,"Высокий",IF(U10&gt;='Шкалы оценки'!$B$22,"Средний","Низкий"))</f>
        <v>Средний</v>
      </c>
      <c r="W10" s="4" t="n">
        <f aca="false">RANK(I10,$I$5:$I$23)+COUNTIF($I$5:I10,I10)-1</f>
        <v>6</v>
      </c>
    </row>
    <row r="11" customFormat="false" ht="63.75" hidden="false" customHeight="true" outlineLevel="0" collapsed="false">
      <c r="A11" s="4" t="n">
        <v>7</v>
      </c>
      <c r="B11" s="5" t="str">
        <f aca="false">"R"&amp;A11</f>
        <v>R7</v>
      </c>
      <c r="C11" s="6" t="s">
        <v>63</v>
      </c>
      <c r="D11" s="4" t="s">
        <v>46</v>
      </c>
      <c r="E11" s="6" t="s">
        <v>64</v>
      </c>
      <c r="F11" s="6" t="s">
        <v>65</v>
      </c>
      <c r="G11" s="7" t="n">
        <v>0.4</v>
      </c>
      <c r="H11" s="7" t="n">
        <v>0.8</v>
      </c>
      <c r="I11" s="8" t="n">
        <f aca="false">G11*H11</f>
        <v>0.32</v>
      </c>
      <c r="J11" s="4" t="str">
        <f aca="false">IF(I11&gt;'Шкалы оценки'!$B$21,"Высокий",IF(I11&gt;='Шкалы оценки'!$B$22,"Средний","Низкий"))</f>
        <v>Средний</v>
      </c>
      <c r="K11" s="4" t="s">
        <v>29</v>
      </c>
      <c r="L11" s="6" t="s">
        <v>66</v>
      </c>
      <c r="M11" s="6" t="s">
        <v>50</v>
      </c>
      <c r="N11" s="4" t="s">
        <v>51</v>
      </c>
      <c r="O11" s="9" t="n">
        <v>30000</v>
      </c>
      <c r="P11" s="10" t="n">
        <f aca="false">G11*O11</f>
        <v>12000</v>
      </c>
      <c r="Q11" s="9" t="n">
        <v>5000</v>
      </c>
      <c r="R11" s="6" t="str">
        <f aca="false">IF(K11="Принятие","Принятие: покрывается резервом",IF(Q11&lt;P11,"Оправданы (затраты &lt; ожид. потерь)","Пересмотреть меры"))</f>
        <v>Оправданы (затраты &lt; ожид. потерь)</v>
      </c>
      <c r="S11" s="7" t="n">
        <v>0.2</v>
      </c>
      <c r="T11" s="7" t="n">
        <v>0.5</v>
      </c>
      <c r="U11" s="8" t="n">
        <f aca="false">S11*T11</f>
        <v>0.1</v>
      </c>
      <c r="V11" s="4" t="str">
        <f aca="false">IF(U11&gt;'Шкалы оценки'!$B$21,"Высокий",IF(U11&gt;='Шкалы оценки'!$B$22,"Средний","Низкий"))</f>
        <v>Низкий</v>
      </c>
      <c r="W11" s="4" t="n">
        <f aca="false">RANK(I11,$I$5:$I$23)+COUNTIF($I$5:I11,I11)-1</f>
        <v>8</v>
      </c>
    </row>
    <row r="12" customFormat="false" ht="63.75" hidden="false" customHeight="true" outlineLevel="0" collapsed="false">
      <c r="A12" s="4" t="n">
        <v>8</v>
      </c>
      <c r="B12" s="5" t="str">
        <f aca="false">"R"&amp;A12</f>
        <v>R8</v>
      </c>
      <c r="C12" s="6" t="s">
        <v>67</v>
      </c>
      <c r="D12" s="4" t="s">
        <v>68</v>
      </c>
      <c r="E12" s="6" t="s">
        <v>69</v>
      </c>
      <c r="F12" s="6" t="s">
        <v>70</v>
      </c>
      <c r="G12" s="7" t="n">
        <v>0.5</v>
      </c>
      <c r="H12" s="7" t="n">
        <v>0.6</v>
      </c>
      <c r="I12" s="8" t="n">
        <f aca="false">G12*H12</f>
        <v>0.3</v>
      </c>
      <c r="J12" s="4" t="str">
        <f aca="false">IF(I12&gt;'Шкалы оценки'!$B$21,"Высокий",IF(I12&gt;='Шкалы оценки'!$B$22,"Средний","Низкий"))</f>
        <v>Средний</v>
      </c>
      <c r="K12" s="4" t="s">
        <v>29</v>
      </c>
      <c r="L12" s="6" t="s">
        <v>71</v>
      </c>
      <c r="M12" s="6" t="s">
        <v>38</v>
      </c>
      <c r="N12" s="4" t="s">
        <v>72</v>
      </c>
      <c r="O12" s="9" t="n">
        <v>15000</v>
      </c>
      <c r="P12" s="10" t="n">
        <f aca="false">G12*O12</f>
        <v>7500</v>
      </c>
      <c r="Q12" s="9" t="n">
        <v>3000</v>
      </c>
      <c r="R12" s="6" t="str">
        <f aca="false">IF(K12="Принятие","Принятие: покрывается резервом",IF(Q12&lt;P12,"Оправданы (затраты &lt; ожид. потерь)","Пересмотреть меры"))</f>
        <v>Оправданы (затраты &lt; ожид. потерь)</v>
      </c>
      <c r="S12" s="7" t="n">
        <v>0.4</v>
      </c>
      <c r="T12" s="7" t="n">
        <v>0.4</v>
      </c>
      <c r="U12" s="8" t="n">
        <f aca="false">S12*T12</f>
        <v>0.16</v>
      </c>
      <c r="V12" s="4" t="str">
        <f aca="false">IF(U12&gt;'Шкалы оценки'!$B$21,"Высокий",IF(U12&gt;='Шкалы оценки'!$B$22,"Средний","Низкий"))</f>
        <v>Средний</v>
      </c>
      <c r="W12" s="4" t="n">
        <f aca="false">RANK(I12,$I$5:$I$23)+COUNTIF($I$5:I12,I12)-1</f>
        <v>9</v>
      </c>
    </row>
    <row r="13" customFormat="false" ht="63.75" hidden="false" customHeight="true" outlineLevel="0" collapsed="false">
      <c r="A13" s="4" t="n">
        <v>9</v>
      </c>
      <c r="B13" s="5" t="str">
        <f aca="false">"R"&amp;A13</f>
        <v>R9</v>
      </c>
      <c r="C13" s="6" t="s">
        <v>73</v>
      </c>
      <c r="D13" s="4" t="s">
        <v>68</v>
      </c>
      <c r="E13" s="6" t="s">
        <v>74</v>
      </c>
      <c r="F13" s="6" t="s">
        <v>75</v>
      </c>
      <c r="G13" s="7" t="n">
        <v>0.5</v>
      </c>
      <c r="H13" s="7" t="n">
        <v>0.7</v>
      </c>
      <c r="I13" s="8" t="n">
        <f aca="false">G13*H13</f>
        <v>0.35</v>
      </c>
      <c r="J13" s="4" t="str">
        <f aca="false">IF(I13&gt;'Шкалы оценки'!$B$21,"Высокий",IF(I13&gt;='Шкалы оценки'!$B$22,"Средний","Низкий"))</f>
        <v>Средний</v>
      </c>
      <c r="K13" s="4" t="s">
        <v>29</v>
      </c>
      <c r="L13" s="6" t="s">
        <v>76</v>
      </c>
      <c r="M13" s="6" t="s">
        <v>31</v>
      </c>
      <c r="N13" s="4" t="s">
        <v>77</v>
      </c>
      <c r="O13" s="9" t="n">
        <v>30000</v>
      </c>
      <c r="P13" s="10" t="n">
        <f aca="false">G13*O13</f>
        <v>15000</v>
      </c>
      <c r="Q13" s="9" t="n">
        <v>3000</v>
      </c>
      <c r="R13" s="6" t="str">
        <f aca="false">IF(K13="Принятие","Принятие: покрывается резервом",IF(Q13&lt;P13,"Оправданы (затраты &lt; ожид. потерь)","Пересмотреть меры"))</f>
        <v>Оправданы (затраты &lt; ожид. потерь)</v>
      </c>
      <c r="S13" s="7" t="n">
        <v>0.3</v>
      </c>
      <c r="T13" s="7" t="n">
        <v>0.5</v>
      </c>
      <c r="U13" s="8" t="n">
        <f aca="false">S13*T13</f>
        <v>0.15</v>
      </c>
      <c r="V13" s="4" t="str">
        <f aca="false">IF(U13&gt;'Шкалы оценки'!$B$21,"Высокий",IF(U13&gt;='Шкалы оценки'!$B$22,"Средний","Низкий"))</f>
        <v>Средний</v>
      </c>
      <c r="W13" s="4" t="n">
        <f aca="false">RANK(I13,$I$5:$I$23)+COUNTIF($I$5:I13,I13)-1</f>
        <v>7</v>
      </c>
    </row>
    <row r="14" customFormat="false" ht="63.75" hidden="false" customHeight="true" outlineLevel="0" collapsed="false">
      <c r="A14" s="4" t="n">
        <v>10</v>
      </c>
      <c r="B14" s="5" t="str">
        <f aca="false">"R"&amp;A14</f>
        <v>R10</v>
      </c>
      <c r="C14" s="6" t="s">
        <v>78</v>
      </c>
      <c r="D14" s="4" t="s">
        <v>68</v>
      </c>
      <c r="E14" s="6" t="s">
        <v>79</v>
      </c>
      <c r="F14" s="6" t="s">
        <v>80</v>
      </c>
      <c r="G14" s="7" t="n">
        <v>0.4</v>
      </c>
      <c r="H14" s="7" t="n">
        <v>0.6</v>
      </c>
      <c r="I14" s="8" t="n">
        <f aca="false">G14*H14</f>
        <v>0.24</v>
      </c>
      <c r="J14" s="4" t="str">
        <f aca="false">IF(I14&gt;'Шкалы оценки'!$B$21,"Высокий",IF(I14&gt;='Шкалы оценки'!$B$22,"Средний","Низкий"))</f>
        <v>Средний</v>
      </c>
      <c r="K14" s="4" t="s">
        <v>81</v>
      </c>
      <c r="L14" s="6" t="s">
        <v>82</v>
      </c>
      <c r="M14" s="6" t="s">
        <v>50</v>
      </c>
      <c r="N14" s="4" t="s">
        <v>83</v>
      </c>
      <c r="O14" s="9" t="n">
        <v>25000</v>
      </c>
      <c r="P14" s="10" t="n">
        <f aca="false">G14*O14</f>
        <v>10000</v>
      </c>
      <c r="Q14" s="9" t="n">
        <v>500</v>
      </c>
      <c r="R14" s="6" t="str">
        <f aca="false">IF(K14="Принятие","Принятие: покрывается резервом",IF(Q14&lt;P14,"Оправданы (затраты &lt; ожид. потерь)","Пересмотреть меры"))</f>
        <v>Принятие: покрывается резервом</v>
      </c>
      <c r="S14" s="7" t="n">
        <v>0.5</v>
      </c>
      <c r="T14" s="7" t="n">
        <v>0.4</v>
      </c>
      <c r="U14" s="8" t="n">
        <f aca="false">S14*T14</f>
        <v>0.2</v>
      </c>
      <c r="V14" s="4" t="str">
        <f aca="false">IF(U14&gt;'Шкалы оценки'!$B$21,"Высокий",IF(U14&gt;='Шкалы оценки'!$B$22,"Средний","Низкий"))</f>
        <v>Средний</v>
      </c>
      <c r="W14" s="4" t="n">
        <f aca="false">RANK(I14,$I$5:$I$23)+COUNTIF($I$5:I14,I14)-1</f>
        <v>13</v>
      </c>
    </row>
    <row r="15" customFormat="false" ht="63.75" hidden="false" customHeight="true" outlineLevel="0" collapsed="false">
      <c r="A15" s="4" t="n">
        <v>11</v>
      </c>
      <c r="B15" s="5" t="str">
        <f aca="false">"R"&amp;A15</f>
        <v>R11</v>
      </c>
      <c r="C15" s="6" t="s">
        <v>84</v>
      </c>
      <c r="D15" s="4" t="s">
        <v>85</v>
      </c>
      <c r="E15" s="6" t="s">
        <v>86</v>
      </c>
      <c r="F15" s="6" t="s">
        <v>87</v>
      </c>
      <c r="G15" s="7" t="n">
        <v>0.4</v>
      </c>
      <c r="H15" s="7" t="n">
        <v>0.7</v>
      </c>
      <c r="I15" s="8" t="n">
        <f aca="false">G15*H15</f>
        <v>0.28</v>
      </c>
      <c r="J15" s="4" t="str">
        <f aca="false">IF(I15&gt;'Шкалы оценки'!$B$21,"Высокий",IF(I15&gt;='Шкалы оценки'!$B$22,"Средний","Низкий"))</f>
        <v>Средний</v>
      </c>
      <c r="K15" s="4" t="s">
        <v>88</v>
      </c>
      <c r="L15" s="6" t="s">
        <v>89</v>
      </c>
      <c r="M15" s="6" t="s">
        <v>90</v>
      </c>
      <c r="N15" s="4" t="s">
        <v>91</v>
      </c>
      <c r="O15" s="9" t="n">
        <v>30000</v>
      </c>
      <c r="P15" s="10" t="n">
        <f aca="false">G15*O15</f>
        <v>12000</v>
      </c>
      <c r="Q15" s="9" t="n">
        <v>2000</v>
      </c>
      <c r="R15" s="6" t="str">
        <f aca="false">IF(K15="Принятие","Принятие: покрывается резервом",IF(Q15&lt;P15,"Оправданы (затраты &lt; ожид. потерь)","Пересмотреть меры"))</f>
        <v>Оправданы (затраты &lt; ожид. потерь)</v>
      </c>
      <c r="S15" s="7" t="n">
        <v>0.1</v>
      </c>
      <c r="T15" s="7" t="n">
        <v>0.7</v>
      </c>
      <c r="U15" s="8" t="n">
        <f aca="false">S15*T15</f>
        <v>0.07</v>
      </c>
      <c r="V15" s="4" t="str">
        <f aca="false">IF(U15&gt;'Шкалы оценки'!$B$21,"Высокий",IF(U15&gt;='Шкалы оценки'!$B$22,"Средний","Низкий"))</f>
        <v>Низкий</v>
      </c>
      <c r="W15" s="4" t="n">
        <f aca="false">RANK(I15,$I$5:$I$23)+COUNTIF($I$5:I15,I15)-1</f>
        <v>10</v>
      </c>
    </row>
    <row r="16" customFormat="false" ht="63.75" hidden="false" customHeight="true" outlineLevel="0" collapsed="false">
      <c r="A16" s="4" t="n">
        <v>12</v>
      </c>
      <c r="B16" s="5" t="str">
        <f aca="false">"R"&amp;A16</f>
        <v>R12</v>
      </c>
      <c r="C16" s="6" t="s">
        <v>92</v>
      </c>
      <c r="D16" s="4" t="s">
        <v>46</v>
      </c>
      <c r="E16" s="6" t="s">
        <v>93</v>
      </c>
      <c r="F16" s="6" t="s">
        <v>94</v>
      </c>
      <c r="G16" s="7" t="n">
        <v>0.3</v>
      </c>
      <c r="H16" s="7" t="n">
        <v>0.8</v>
      </c>
      <c r="I16" s="8" t="n">
        <f aca="false">G16*H16</f>
        <v>0.24</v>
      </c>
      <c r="J16" s="4" t="str">
        <f aca="false">IF(I16&gt;'Шкалы оценки'!$B$21,"Высокий",IF(I16&gt;='Шкалы оценки'!$B$22,"Средний","Низкий"))</f>
        <v>Средний</v>
      </c>
      <c r="K16" s="4" t="s">
        <v>29</v>
      </c>
      <c r="L16" s="6" t="s">
        <v>95</v>
      </c>
      <c r="M16" s="6" t="s">
        <v>50</v>
      </c>
      <c r="N16" s="4" t="s">
        <v>96</v>
      </c>
      <c r="O16" s="9" t="n">
        <v>35000</v>
      </c>
      <c r="P16" s="10" t="n">
        <f aca="false">G16*O16</f>
        <v>10500</v>
      </c>
      <c r="Q16" s="9" t="n">
        <v>2000</v>
      </c>
      <c r="R16" s="6" t="str">
        <f aca="false">IF(K16="Принятие","Принятие: покрывается резервом",IF(Q16&lt;P16,"Оправданы (затраты &lt; ожид. потерь)","Пересмотреть меры"))</f>
        <v>Оправданы (затраты &lt; ожид. потерь)</v>
      </c>
      <c r="S16" s="7" t="n">
        <v>0.2</v>
      </c>
      <c r="T16" s="7" t="n">
        <v>0.6</v>
      </c>
      <c r="U16" s="8" t="n">
        <f aca="false">S16*T16</f>
        <v>0.12</v>
      </c>
      <c r="V16" s="4" t="str">
        <f aca="false">IF(U16&gt;'Шкалы оценки'!$B$21,"Высокий",IF(U16&gt;='Шкалы оценки'!$B$22,"Средний","Низкий"))</f>
        <v>Низкий</v>
      </c>
      <c r="W16" s="4" t="n">
        <f aca="false">RANK(I16,$I$5:$I$23)+COUNTIF($I$5:I16,I16)-1</f>
        <v>14</v>
      </c>
    </row>
    <row r="17" customFormat="false" ht="63.75" hidden="false" customHeight="true" outlineLevel="0" collapsed="false">
      <c r="A17" s="4" t="n">
        <v>13</v>
      </c>
      <c r="B17" s="5" t="str">
        <f aca="false">"R"&amp;A17</f>
        <v>R13</v>
      </c>
      <c r="C17" s="6" t="s">
        <v>97</v>
      </c>
      <c r="D17" s="4" t="s">
        <v>85</v>
      </c>
      <c r="E17" s="6" t="s">
        <v>98</v>
      </c>
      <c r="F17" s="6" t="s">
        <v>99</v>
      </c>
      <c r="G17" s="7" t="n">
        <v>0.3</v>
      </c>
      <c r="H17" s="7" t="n">
        <v>0.9</v>
      </c>
      <c r="I17" s="8" t="n">
        <f aca="false">G17*H17</f>
        <v>0.27</v>
      </c>
      <c r="J17" s="4" t="str">
        <f aca="false">IF(I17&gt;'Шкалы оценки'!$B$21,"Высокий",IF(I17&gt;='Шкалы оценки'!$B$22,"Средний","Низкий"))</f>
        <v>Средний</v>
      </c>
      <c r="K17" s="4" t="s">
        <v>88</v>
      </c>
      <c r="L17" s="6" t="s">
        <v>100</v>
      </c>
      <c r="M17" s="6" t="s">
        <v>101</v>
      </c>
      <c r="N17" s="4" t="s">
        <v>102</v>
      </c>
      <c r="O17" s="9" t="n">
        <v>80000</v>
      </c>
      <c r="P17" s="10" t="n">
        <f aca="false">G17*O17</f>
        <v>24000</v>
      </c>
      <c r="Q17" s="9" t="n">
        <v>4000</v>
      </c>
      <c r="R17" s="6" t="str">
        <f aca="false">IF(K17="Принятие","Принятие: покрывается резервом",IF(Q17&lt;P17,"Оправданы (затраты &lt; ожид. потерь)","Пересмотреть меры"))</f>
        <v>Оправданы (затраты &lt; ожид. потерь)</v>
      </c>
      <c r="S17" s="7" t="n">
        <v>0.1</v>
      </c>
      <c r="T17" s="7" t="n">
        <v>0.9</v>
      </c>
      <c r="U17" s="8" t="n">
        <f aca="false">S17*T17</f>
        <v>0.09</v>
      </c>
      <c r="V17" s="4" t="str">
        <f aca="false">IF(U17&gt;'Шкалы оценки'!$B$21,"Высокий",IF(U17&gt;='Шкалы оценки'!$B$22,"Средний","Низкий"))</f>
        <v>Низкий</v>
      </c>
      <c r="W17" s="4" t="n">
        <f aca="false">RANK(I17,$I$5:$I$23)+COUNTIF($I$5:I17,I17)-1</f>
        <v>11</v>
      </c>
    </row>
    <row r="18" customFormat="false" ht="63.75" hidden="false" customHeight="true" outlineLevel="0" collapsed="false">
      <c r="A18" s="4" t="n">
        <v>14</v>
      </c>
      <c r="B18" s="5" t="str">
        <f aca="false">"R"&amp;A18</f>
        <v>R14</v>
      </c>
      <c r="C18" s="6" t="s">
        <v>103</v>
      </c>
      <c r="D18" s="4" t="s">
        <v>104</v>
      </c>
      <c r="E18" s="6" t="s">
        <v>105</v>
      </c>
      <c r="F18" s="6" t="s">
        <v>106</v>
      </c>
      <c r="G18" s="7" t="n">
        <v>0.5</v>
      </c>
      <c r="H18" s="7" t="n">
        <v>0.5</v>
      </c>
      <c r="I18" s="8" t="n">
        <f aca="false">G18*H18</f>
        <v>0.25</v>
      </c>
      <c r="J18" s="4" t="str">
        <f aca="false">IF(I18&gt;'Шкалы оценки'!$B$21,"Высокий",IF(I18&gt;='Шкалы оценки'!$B$22,"Средний","Низкий"))</f>
        <v>Средний</v>
      </c>
      <c r="K18" s="4" t="s">
        <v>29</v>
      </c>
      <c r="L18" s="6" t="s">
        <v>107</v>
      </c>
      <c r="M18" s="6" t="s">
        <v>108</v>
      </c>
      <c r="N18" s="4" t="s">
        <v>109</v>
      </c>
      <c r="O18" s="9" t="n">
        <v>15000</v>
      </c>
      <c r="P18" s="10" t="n">
        <f aca="false">G18*O18</f>
        <v>7500</v>
      </c>
      <c r="Q18" s="9" t="n">
        <v>2000</v>
      </c>
      <c r="R18" s="6" t="str">
        <f aca="false">IF(K18="Принятие","Принятие: покрывается резервом",IF(Q18&lt;P18,"Оправданы (затраты &lt; ожид. потерь)","Пересмотреть меры"))</f>
        <v>Оправданы (затраты &lt; ожид. потерь)</v>
      </c>
      <c r="S18" s="7" t="n">
        <v>0.3</v>
      </c>
      <c r="T18" s="7" t="n">
        <v>0.4</v>
      </c>
      <c r="U18" s="8" t="n">
        <f aca="false">S18*T18</f>
        <v>0.12</v>
      </c>
      <c r="V18" s="4" t="str">
        <f aca="false">IF(U18&gt;'Шкалы оценки'!$B$21,"Высокий",IF(U18&gt;='Шкалы оценки'!$B$22,"Средний","Низкий"))</f>
        <v>Низкий</v>
      </c>
      <c r="W18" s="4" t="n">
        <f aca="false">RANK(I18,$I$5:$I$23)+COUNTIF($I$5:I18,I18)-1</f>
        <v>12</v>
      </c>
    </row>
    <row r="19" customFormat="false" ht="63.75" hidden="false" customHeight="true" outlineLevel="0" collapsed="false">
      <c r="A19" s="4" t="n">
        <v>15</v>
      </c>
      <c r="B19" s="5" t="str">
        <f aca="false">"R"&amp;A19</f>
        <v>R15</v>
      </c>
      <c r="C19" s="6" t="s">
        <v>110</v>
      </c>
      <c r="D19" s="4" t="s">
        <v>46</v>
      </c>
      <c r="E19" s="6" t="s">
        <v>111</v>
      </c>
      <c r="F19" s="6" t="s">
        <v>112</v>
      </c>
      <c r="G19" s="7" t="n">
        <v>0.6</v>
      </c>
      <c r="H19" s="7" t="n">
        <v>0.4</v>
      </c>
      <c r="I19" s="8" t="n">
        <f aca="false">G19*H19</f>
        <v>0.24</v>
      </c>
      <c r="J19" s="4" t="str">
        <f aca="false">IF(I19&gt;'Шкалы оценки'!$B$21,"Высокий",IF(I19&gt;='Шкалы оценки'!$B$22,"Средний","Низкий"))</f>
        <v>Средний</v>
      </c>
      <c r="K19" s="4" t="s">
        <v>88</v>
      </c>
      <c r="L19" s="6" t="s">
        <v>113</v>
      </c>
      <c r="M19" s="6" t="s">
        <v>31</v>
      </c>
      <c r="N19" s="4" t="s">
        <v>114</v>
      </c>
      <c r="O19" s="9" t="n">
        <v>12000</v>
      </c>
      <c r="P19" s="10" t="n">
        <f aca="false">G19*O19</f>
        <v>7200</v>
      </c>
      <c r="Q19" s="9" t="n">
        <v>500</v>
      </c>
      <c r="R19" s="6" t="str">
        <f aca="false">IF(K19="Принятие","Принятие: покрывается резервом",IF(Q19&lt;P19,"Оправданы (затраты &lt; ожид. потерь)","Пересмотреть меры"))</f>
        <v>Оправданы (затраты &lt; ожид. потерь)</v>
      </c>
      <c r="S19" s="7" t="n">
        <v>0.2</v>
      </c>
      <c r="T19" s="7" t="n">
        <v>0.5</v>
      </c>
      <c r="U19" s="8" t="n">
        <f aca="false">S19*T19</f>
        <v>0.1</v>
      </c>
      <c r="V19" s="4" t="str">
        <f aca="false">IF(U19&gt;'Шкалы оценки'!$B$21,"Высокий",IF(U19&gt;='Шкалы оценки'!$B$22,"Средний","Низкий"))</f>
        <v>Низкий</v>
      </c>
      <c r="W19" s="4" t="n">
        <f aca="false">RANK(I19,$I$5:$I$23)+COUNTIF($I$5:I19,I19)-1</f>
        <v>15</v>
      </c>
    </row>
    <row r="20" customFormat="false" ht="63.75" hidden="false" customHeight="true" outlineLevel="0" collapsed="false">
      <c r="A20" s="4" t="n">
        <v>16</v>
      </c>
      <c r="B20" s="5" t="str">
        <f aca="false">"R"&amp;A20</f>
        <v>R16</v>
      </c>
      <c r="C20" s="6" t="s">
        <v>115</v>
      </c>
      <c r="D20" s="4" t="s">
        <v>116</v>
      </c>
      <c r="E20" s="6" t="s">
        <v>117</v>
      </c>
      <c r="F20" s="6" t="s">
        <v>118</v>
      </c>
      <c r="G20" s="7" t="n">
        <v>0.2</v>
      </c>
      <c r="H20" s="7" t="n">
        <v>1</v>
      </c>
      <c r="I20" s="8" t="n">
        <f aca="false">G20*H20</f>
        <v>0.2</v>
      </c>
      <c r="J20" s="4" t="str">
        <f aca="false">IF(I20&gt;'Шкалы оценки'!$B$21,"Высокий",IF(I20&gt;='Шкалы оценки'!$B$22,"Средний","Низкий"))</f>
        <v>Средний</v>
      </c>
      <c r="K20" s="4" t="s">
        <v>119</v>
      </c>
      <c r="L20" s="6" t="s">
        <v>120</v>
      </c>
      <c r="M20" s="6" t="s">
        <v>90</v>
      </c>
      <c r="N20" s="4" t="s">
        <v>121</v>
      </c>
      <c r="O20" s="9" t="n">
        <v>100000</v>
      </c>
      <c r="P20" s="10" t="n">
        <f aca="false">G20*O20</f>
        <v>20000</v>
      </c>
      <c r="Q20" s="9" t="n">
        <v>6000</v>
      </c>
      <c r="R20" s="6" t="str">
        <f aca="false">IF(K20="Принятие","Принятие: покрывается резервом",IF(Q20&lt;P20,"Оправданы (затраты &lt; ожид. потерь)","Пересмотреть меры"))</f>
        <v>Оправданы (затраты &lt; ожид. потерь)</v>
      </c>
      <c r="S20" s="7" t="n">
        <v>0.1</v>
      </c>
      <c r="T20" s="7" t="n">
        <v>0.9</v>
      </c>
      <c r="U20" s="8" t="n">
        <f aca="false">S20*T20</f>
        <v>0.09</v>
      </c>
      <c r="V20" s="4" t="str">
        <f aca="false">IF(U20&gt;'Шкалы оценки'!$B$21,"Высокий",IF(U20&gt;='Шкалы оценки'!$B$22,"Средний","Низкий"))</f>
        <v>Низкий</v>
      </c>
      <c r="W20" s="4" t="n">
        <f aca="false">RANK(I20,$I$5:$I$23)+COUNTIF($I$5:I20,I20)-1</f>
        <v>16</v>
      </c>
    </row>
    <row r="21" customFormat="false" ht="63.75" hidden="false" customHeight="true" outlineLevel="0" collapsed="false">
      <c r="A21" s="4" t="n">
        <v>17</v>
      </c>
      <c r="B21" s="5" t="str">
        <f aca="false">"R"&amp;A21</f>
        <v>R17</v>
      </c>
      <c r="C21" s="6" t="s">
        <v>122</v>
      </c>
      <c r="D21" s="4" t="s">
        <v>116</v>
      </c>
      <c r="E21" s="6" t="s">
        <v>123</v>
      </c>
      <c r="F21" s="6" t="s">
        <v>124</v>
      </c>
      <c r="G21" s="7" t="n">
        <v>0.2</v>
      </c>
      <c r="H21" s="7" t="n">
        <v>0.6</v>
      </c>
      <c r="I21" s="8" t="n">
        <f aca="false">G21*H21</f>
        <v>0.12</v>
      </c>
      <c r="J21" s="4" t="str">
        <f aca="false">IF(I21&gt;'Шкалы оценки'!$B$21,"Высокий",IF(I21&gt;='Шкалы оценки'!$B$22,"Средний","Низкий"))</f>
        <v>Низкий</v>
      </c>
      <c r="K21" s="4" t="s">
        <v>29</v>
      </c>
      <c r="L21" s="6" t="s">
        <v>125</v>
      </c>
      <c r="M21" s="6" t="s">
        <v>38</v>
      </c>
      <c r="N21" s="4" t="s">
        <v>126</v>
      </c>
      <c r="O21" s="9" t="n">
        <v>15000</v>
      </c>
      <c r="P21" s="10" t="n">
        <f aca="false">G21*O21</f>
        <v>3000</v>
      </c>
      <c r="Q21" s="9" t="n">
        <v>2000</v>
      </c>
      <c r="R21" s="6" t="str">
        <f aca="false">IF(K21="Принятие","Принятие: покрывается резервом",IF(Q21&lt;P21,"Оправданы (затраты &lt; ожид. потерь)","Пересмотреть меры"))</f>
        <v>Оправданы (затраты &lt; ожид. потерь)</v>
      </c>
      <c r="S21" s="7" t="n">
        <v>0.1</v>
      </c>
      <c r="T21" s="7" t="n">
        <v>0.5</v>
      </c>
      <c r="U21" s="8" t="n">
        <f aca="false">S21*T21</f>
        <v>0.05</v>
      </c>
      <c r="V21" s="4" t="str">
        <f aca="false">IF(U21&gt;'Шкалы оценки'!$B$21,"Высокий",IF(U21&gt;='Шкалы оценки'!$B$22,"Средний","Низкий"))</f>
        <v>Низкий</v>
      </c>
      <c r="W21" s="4" t="n">
        <f aca="false">RANK(I21,$I$5:$I$23)+COUNTIF($I$5:I21,I21)-1</f>
        <v>18</v>
      </c>
    </row>
    <row r="22" customFormat="false" ht="63.75" hidden="false" customHeight="true" outlineLevel="0" collapsed="false">
      <c r="A22" s="4" t="n">
        <v>18</v>
      </c>
      <c r="B22" s="5" t="str">
        <f aca="false">"R"&amp;A22</f>
        <v>R18</v>
      </c>
      <c r="C22" s="6" t="s">
        <v>127</v>
      </c>
      <c r="D22" s="4" t="s">
        <v>34</v>
      </c>
      <c r="E22" s="6" t="s">
        <v>128</v>
      </c>
      <c r="F22" s="6" t="s">
        <v>129</v>
      </c>
      <c r="G22" s="7" t="n">
        <v>0.4</v>
      </c>
      <c r="H22" s="7" t="n">
        <v>0.5</v>
      </c>
      <c r="I22" s="8" t="n">
        <f aca="false">G22*H22</f>
        <v>0.2</v>
      </c>
      <c r="J22" s="4" t="str">
        <f aca="false">IF(I22&gt;'Шкалы оценки'!$B$21,"Высокий",IF(I22&gt;='Шкалы оценки'!$B$22,"Средний","Низкий"))</f>
        <v>Средний</v>
      </c>
      <c r="K22" s="4" t="s">
        <v>29</v>
      </c>
      <c r="L22" s="6" t="s">
        <v>130</v>
      </c>
      <c r="M22" s="6" t="s">
        <v>90</v>
      </c>
      <c r="N22" s="4" t="s">
        <v>131</v>
      </c>
      <c r="O22" s="9" t="n">
        <v>20000</v>
      </c>
      <c r="P22" s="10" t="n">
        <f aca="false">G22*O22</f>
        <v>8000</v>
      </c>
      <c r="Q22" s="9" t="n">
        <v>2000</v>
      </c>
      <c r="R22" s="6" t="str">
        <f aca="false">IF(K22="Принятие","Принятие: покрывается резервом",IF(Q22&lt;P22,"Оправданы (затраты &lt; ожид. потерь)","Пересмотреть меры"))</f>
        <v>Оправданы (затраты &lt; ожид. потерь)</v>
      </c>
      <c r="S22" s="7" t="n">
        <v>0.2</v>
      </c>
      <c r="T22" s="7" t="n">
        <v>0.4</v>
      </c>
      <c r="U22" s="8" t="n">
        <f aca="false">S22*T22</f>
        <v>0.08</v>
      </c>
      <c r="V22" s="4" t="str">
        <f aca="false">IF(U22&gt;'Шкалы оценки'!$B$21,"Высокий",IF(U22&gt;='Шкалы оценки'!$B$22,"Средний","Низкий"))</f>
        <v>Низкий</v>
      </c>
      <c r="W22" s="4" t="n">
        <f aca="false">RANK(I22,$I$5:$I$23)+COUNTIF($I$5:I22,I22)-1</f>
        <v>17</v>
      </c>
    </row>
    <row r="23" customFormat="false" ht="63.75" hidden="false" customHeight="true" outlineLevel="0" collapsed="false">
      <c r="A23" s="4" t="n">
        <v>19</v>
      </c>
      <c r="B23" s="5" t="str">
        <f aca="false">"R"&amp;A23</f>
        <v>R19</v>
      </c>
      <c r="C23" s="6" t="s">
        <v>132</v>
      </c>
      <c r="D23" s="4" t="s">
        <v>34</v>
      </c>
      <c r="E23" s="6" t="s">
        <v>133</v>
      </c>
      <c r="F23" s="6" t="s">
        <v>134</v>
      </c>
      <c r="G23" s="7" t="n">
        <v>0.4</v>
      </c>
      <c r="H23" s="7" t="n">
        <v>0.3</v>
      </c>
      <c r="I23" s="8" t="n">
        <f aca="false">G23*H23</f>
        <v>0.12</v>
      </c>
      <c r="J23" s="4" t="str">
        <f aca="false">IF(I23&gt;'Шкалы оценки'!$B$21,"Высокий",IF(I23&gt;='Шкалы оценки'!$B$22,"Средний","Низкий"))</f>
        <v>Низкий</v>
      </c>
      <c r="K23" s="4" t="s">
        <v>81</v>
      </c>
      <c r="L23" s="6" t="s">
        <v>135</v>
      </c>
      <c r="M23" s="6" t="s">
        <v>38</v>
      </c>
      <c r="N23" s="4" t="s">
        <v>72</v>
      </c>
      <c r="O23" s="9" t="n">
        <v>6000</v>
      </c>
      <c r="P23" s="10" t="n">
        <f aca="false">G23*O23</f>
        <v>2400</v>
      </c>
      <c r="Q23" s="9" t="n">
        <v>1500</v>
      </c>
      <c r="R23" s="6" t="str">
        <f aca="false">IF(K23="Принятие","Принятие: покрывается резервом",IF(Q23&lt;P23,"Оправданы (затраты &lt; ожид. потерь)","Пересмотреть меры"))</f>
        <v>Принятие: покрывается резервом</v>
      </c>
      <c r="S23" s="7" t="n">
        <v>0.4</v>
      </c>
      <c r="T23" s="7" t="n">
        <v>0.2</v>
      </c>
      <c r="U23" s="8" t="n">
        <f aca="false">S23*T23</f>
        <v>0.08</v>
      </c>
      <c r="V23" s="4" t="str">
        <f aca="false">IF(U23&gt;'Шкалы оценки'!$B$21,"Высокий",IF(U23&gt;='Шкалы оценки'!$B$22,"Средний","Низкий"))</f>
        <v>Низкий</v>
      </c>
      <c r="W23" s="4" t="n">
        <f aca="false">RANK(I23,$I$5:$I$23)+COUNTIF($I$5:I23,I23)-1</f>
        <v>19</v>
      </c>
    </row>
    <row r="24" customFormat="false" ht="15" hidden="false" customHeight="false" outlineLevel="0" collapsed="false">
      <c r="C24" s="11" t="s">
        <v>136</v>
      </c>
      <c r="P24" s="12" t="n">
        <f aca="false">SUM(P5:P23)</f>
        <v>323100</v>
      </c>
      <c r="Q24" s="12" t="n">
        <f aca="false">SUM(Q5:Q23)</f>
        <v>60500</v>
      </c>
    </row>
    <row r="25" customFormat="false" ht="15" hidden="false" customHeight="false" outlineLevel="0" collapsed="false">
      <c r="C25" s="13" t="s">
        <v>137</v>
      </c>
    </row>
    <row r="26" customFormat="false" ht="15" hidden="false" customHeight="false" outlineLevel="0" collapsed="false">
      <c r="C26" s="14" t="s">
        <v>138</v>
      </c>
      <c r="D26" s="5" t="n">
        <f aca="false">COUNTIF(J5:J23,"Высокий")</f>
        <v>4</v>
      </c>
    </row>
    <row r="27" customFormat="false" ht="15" hidden="false" customHeight="false" outlineLevel="0" collapsed="false">
      <c r="C27" s="14" t="s">
        <v>139</v>
      </c>
      <c r="D27" s="5" t="n">
        <f aca="false">COUNTIF(J5:J23,"Средний")</f>
        <v>13</v>
      </c>
    </row>
    <row r="28" customFormat="false" ht="15" hidden="false" customHeight="false" outlineLevel="0" collapsed="false">
      <c r="C28" s="14" t="s">
        <v>140</v>
      </c>
      <c r="D28" s="5" t="n">
        <f aca="false">COUNTIF(J5:J23,"Низкий")</f>
        <v>2</v>
      </c>
    </row>
    <row r="29" customFormat="false" ht="15" hidden="false" customHeight="false" outlineLevel="0" collapsed="false">
      <c r="C29" s="14" t="s">
        <v>141</v>
      </c>
      <c r="D29" s="15" t="n">
        <f aca="false">AVERAGE(I5:I23)</f>
        <v>0.325263157894737</v>
      </c>
    </row>
    <row r="30" customFormat="false" ht="15" hidden="false" customHeight="false" outlineLevel="0" collapsed="false">
      <c r="C30" s="14" t="s">
        <v>142</v>
      </c>
      <c r="D30" s="15" t="n">
        <f aca="false">AVERAGE(U5:U23)</f>
        <v>0.142105263157895</v>
      </c>
    </row>
    <row r="31" customFormat="false" ht="15" hidden="false" customHeight="false" outlineLevel="0" collapsed="false">
      <c r="C31" s="14" t="s">
        <v>143</v>
      </c>
      <c r="D31" s="16" t="n">
        <f aca="false">1-SUM(U5:U23)/SUM(I5:I23)</f>
        <v>0.563106796116505</v>
      </c>
    </row>
    <row r="32" customFormat="false" ht="15" hidden="false" customHeight="false" outlineLevel="0" collapsed="false">
      <c r="C32" s="14" t="s">
        <v>144</v>
      </c>
      <c r="D32" s="17" t="n">
        <f aca="false">Q24</f>
        <v>60500</v>
      </c>
    </row>
    <row r="33" customFormat="false" ht="15" hidden="false" customHeight="false" outlineLevel="0" collapsed="false">
      <c r="C33" s="14" t="s">
        <v>145</v>
      </c>
      <c r="D33" s="18" t="n">
        <v>47000</v>
      </c>
    </row>
    <row r="34" customFormat="false" ht="15" hidden="false" customHeight="false" outlineLevel="0" collapsed="false">
      <c r="C34" s="14" t="s">
        <v>146</v>
      </c>
      <c r="D34" s="17" t="n">
        <f aca="false">SUMIF(K5:K23,"Принятие",P5:P23)</f>
        <v>12400</v>
      </c>
    </row>
    <row r="35" customFormat="false" ht="15" hidden="false" customHeight="false" outlineLevel="0" collapsed="false">
      <c r="C35" s="14" t="s">
        <v>147</v>
      </c>
      <c r="D35" s="5" t="str">
        <f aca="false">IF(D34&lt;=D33,"ДА","НЕТ")</f>
        <v>ДА</v>
      </c>
    </row>
    <row r="37" customFormat="false" ht="15" hidden="false" customHeight="false" outlineLevel="0" collapsed="false">
      <c r="C37" s="13" t="s">
        <v>148</v>
      </c>
    </row>
    <row r="38" customFormat="false" ht="23.85" hidden="false" customHeight="false" outlineLevel="0" collapsed="false">
      <c r="B38" s="3" t="s">
        <v>149</v>
      </c>
      <c r="C38" s="3" t="s">
        <v>150</v>
      </c>
      <c r="D38" s="3" t="s">
        <v>151</v>
      </c>
      <c r="E38" s="3" t="s">
        <v>7</v>
      </c>
      <c r="F38" s="3" t="s">
        <v>152</v>
      </c>
      <c r="G38" s="3" t="s">
        <v>153</v>
      </c>
    </row>
    <row r="39" customFormat="false" ht="39.75" hidden="false" customHeight="true" outlineLevel="0" collapsed="false">
      <c r="B39" s="4" t="s">
        <v>154</v>
      </c>
      <c r="C39" s="6" t="s">
        <v>155</v>
      </c>
      <c r="D39" s="6" t="s">
        <v>156</v>
      </c>
      <c r="E39" s="6" t="s">
        <v>157</v>
      </c>
      <c r="F39" s="8" t="n">
        <v>0.4</v>
      </c>
      <c r="G39" s="6" t="s">
        <v>158</v>
      </c>
    </row>
    <row r="40" customFormat="false" ht="39.75" hidden="false" customHeight="true" outlineLevel="0" collapsed="false">
      <c r="B40" s="4" t="s">
        <v>159</v>
      </c>
      <c r="C40" s="6" t="s">
        <v>160</v>
      </c>
      <c r="D40" s="6" t="s">
        <v>161</v>
      </c>
      <c r="E40" s="6" t="s">
        <v>162</v>
      </c>
      <c r="F40" s="8" t="n">
        <v>0.3</v>
      </c>
      <c r="G40" s="6" t="s">
        <v>163</v>
      </c>
    </row>
    <row r="41" customFormat="false" ht="39.75" hidden="false" customHeight="true" outlineLevel="0" collapsed="false">
      <c r="B41" s="4" t="s">
        <v>164</v>
      </c>
      <c r="C41" s="6" t="s">
        <v>165</v>
      </c>
      <c r="D41" s="6" t="s">
        <v>166</v>
      </c>
      <c r="E41" s="6" t="s">
        <v>167</v>
      </c>
      <c r="F41" s="8" t="n">
        <v>0.6</v>
      </c>
      <c r="G41" s="6" t="s">
        <v>168</v>
      </c>
    </row>
  </sheetData>
  <autoFilter ref="A4:W23"/>
  <conditionalFormatting sqref="J5:J23">
    <cfRule type="cellIs" priority="2" operator="equal" aboveAverage="0" equalAverage="0" bottom="0" percent="0" rank="0" text="" dxfId="8">
      <formula>"Высокий"</formula>
    </cfRule>
    <cfRule type="cellIs" priority="3" operator="equal" aboveAverage="0" equalAverage="0" bottom="0" percent="0" rank="0" text="" dxfId="9">
      <formula>"Средний"</formula>
    </cfRule>
    <cfRule type="cellIs" priority="4" operator="equal" aboveAverage="0" equalAverage="0" bottom="0" percent="0" rank="0" text="" dxfId="10">
      <formula>"Низкий"</formula>
    </cfRule>
  </conditionalFormatting>
  <conditionalFormatting sqref="V5:V23">
    <cfRule type="cellIs" priority="5" operator="equal" aboveAverage="0" equalAverage="0" bottom="0" percent="0" rank="0" text="" dxfId="8">
      <formula>"Высокий"</formula>
    </cfRule>
    <cfRule type="cellIs" priority="6" operator="equal" aboveAverage="0" equalAverage="0" bottom="0" percent="0" rank="0" text="" dxfId="9">
      <formula>"Средний"</formula>
    </cfRule>
    <cfRule type="cellIs" priority="7" operator="equal" aboveAverage="0" equalAverage="0" bottom="0" percent="0" rank="0" text="" dxfId="10">
      <formula>"Низкий"</formula>
    </cfRule>
  </conditionalFormatting>
  <dataValidations count="1">
    <dataValidation allowBlank="false" errorStyle="stop" operator="between" showDropDown="false" showErrorMessage="false" showInputMessage="false" sqref="K5:K23" type="list">
      <formula1>"Уклонение,Снижение,Передача,Принятие,Снижение + передача"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32"/>
    <col collapsed="false" customWidth="true" hidden="false" outlineLevel="0" max="4" min="4" style="0" width="22"/>
    <col collapsed="false" customWidth="true" hidden="false" outlineLevel="0" max="5" min="5" style="0" width="30"/>
    <col collapsed="false" customWidth="true" hidden="false" outlineLevel="0" max="6" min="6" style="0" width="34"/>
  </cols>
  <sheetData>
    <row r="1" customFormat="false" ht="17.35" hidden="false" customHeight="false" outlineLevel="0" collapsed="false">
      <c r="A1" s="1" t="s">
        <v>169</v>
      </c>
    </row>
    <row r="3" customFormat="false" ht="15" hidden="false" customHeight="false" outlineLevel="0" collapsed="false">
      <c r="A3" s="11" t="s">
        <v>170</v>
      </c>
    </row>
    <row r="4" customFormat="false" ht="23.85" hidden="false" customHeight="false" outlineLevel="0" collapsed="false">
      <c r="A4" s="3" t="s">
        <v>171</v>
      </c>
      <c r="B4" s="3" t="s">
        <v>172</v>
      </c>
      <c r="C4" s="3" t="s">
        <v>173</v>
      </c>
      <c r="D4" s="3" t="s">
        <v>174</v>
      </c>
    </row>
    <row r="5" customFormat="false" ht="27.75" hidden="false" customHeight="true" outlineLevel="0" collapsed="false">
      <c r="A5" s="4" t="s">
        <v>175</v>
      </c>
      <c r="B5" s="4" t="s">
        <v>176</v>
      </c>
      <c r="C5" s="6" t="s">
        <v>177</v>
      </c>
      <c r="D5" s="4" t="s">
        <v>178</v>
      </c>
    </row>
    <row r="6" customFormat="false" ht="27.75" hidden="false" customHeight="true" outlineLevel="0" collapsed="false">
      <c r="A6" s="4" t="s">
        <v>179</v>
      </c>
      <c r="B6" s="4" t="s">
        <v>180</v>
      </c>
      <c r="C6" s="6" t="s">
        <v>181</v>
      </c>
      <c r="D6" s="4" t="s">
        <v>182</v>
      </c>
    </row>
    <row r="7" customFormat="false" ht="27.75" hidden="false" customHeight="true" outlineLevel="0" collapsed="false">
      <c r="A7" s="4" t="s">
        <v>183</v>
      </c>
      <c r="B7" s="4" t="s">
        <v>184</v>
      </c>
      <c r="C7" s="6" t="s">
        <v>185</v>
      </c>
      <c r="D7" s="4" t="s">
        <v>186</v>
      </c>
    </row>
    <row r="8" customFormat="false" ht="27.75" hidden="false" customHeight="true" outlineLevel="0" collapsed="false">
      <c r="A8" s="4" t="s">
        <v>187</v>
      </c>
      <c r="B8" s="4" t="s">
        <v>188</v>
      </c>
      <c r="C8" s="6" t="s">
        <v>189</v>
      </c>
      <c r="D8" s="4" t="s">
        <v>190</v>
      </c>
    </row>
    <row r="9" customFormat="false" ht="27.75" hidden="false" customHeight="true" outlineLevel="0" collapsed="false">
      <c r="A9" s="4" t="s">
        <v>191</v>
      </c>
      <c r="B9" s="4" t="s">
        <v>192</v>
      </c>
      <c r="C9" s="6" t="s">
        <v>193</v>
      </c>
      <c r="D9" s="4" t="s">
        <v>194</v>
      </c>
    </row>
    <row r="10" customFormat="false" ht="27.75" hidden="false" customHeight="true" outlineLevel="0" collapsed="false"/>
    <row r="11" customFormat="false" ht="27.75" hidden="false" customHeight="true" outlineLevel="0" collapsed="false">
      <c r="A11" s="11" t="s">
        <v>195</v>
      </c>
    </row>
    <row r="12" customFormat="false" ht="27.75" hidden="false" customHeight="true" outlineLevel="0" collapsed="false">
      <c r="A12" s="3" t="s">
        <v>196</v>
      </c>
      <c r="B12" s="3" t="s">
        <v>172</v>
      </c>
      <c r="C12" s="3" t="s">
        <v>197</v>
      </c>
      <c r="D12" s="3" t="s">
        <v>198</v>
      </c>
      <c r="E12" s="3" t="s">
        <v>199</v>
      </c>
      <c r="F12" s="3" t="s">
        <v>200</v>
      </c>
    </row>
    <row r="13" customFormat="false" ht="27.75" hidden="false" customHeight="true" outlineLevel="0" collapsed="false">
      <c r="A13" s="4" t="s">
        <v>175</v>
      </c>
      <c r="B13" s="4" t="s">
        <v>201</v>
      </c>
      <c r="C13" s="6" t="s">
        <v>202</v>
      </c>
      <c r="D13" s="6" t="s">
        <v>203</v>
      </c>
      <c r="E13" s="6" t="s">
        <v>204</v>
      </c>
      <c r="F13" s="6" t="s">
        <v>205</v>
      </c>
    </row>
    <row r="14" customFormat="false" ht="27.75" hidden="false" customHeight="true" outlineLevel="0" collapsed="false">
      <c r="A14" s="4" t="s">
        <v>206</v>
      </c>
      <c r="B14" s="4" t="s">
        <v>207</v>
      </c>
      <c r="C14" s="6" t="s">
        <v>208</v>
      </c>
      <c r="D14" s="6" t="s">
        <v>209</v>
      </c>
      <c r="E14" s="6" t="s">
        <v>210</v>
      </c>
      <c r="F14" s="6" t="s">
        <v>211</v>
      </c>
    </row>
    <row r="15" customFormat="false" ht="27.75" hidden="false" customHeight="true" outlineLevel="0" collapsed="false">
      <c r="A15" s="4" t="s">
        <v>212</v>
      </c>
      <c r="B15" s="4" t="s">
        <v>213</v>
      </c>
      <c r="C15" s="6" t="s">
        <v>214</v>
      </c>
      <c r="D15" s="6" t="s">
        <v>215</v>
      </c>
      <c r="E15" s="6" t="s">
        <v>216</v>
      </c>
      <c r="F15" s="6" t="s">
        <v>217</v>
      </c>
    </row>
    <row r="16" customFormat="false" ht="27.75" hidden="false" customHeight="true" outlineLevel="0" collapsed="false">
      <c r="A16" s="4" t="s">
        <v>218</v>
      </c>
      <c r="B16" s="4" t="s">
        <v>219</v>
      </c>
      <c r="C16" s="6" t="s">
        <v>220</v>
      </c>
      <c r="D16" s="6" t="s">
        <v>221</v>
      </c>
      <c r="E16" s="6" t="s">
        <v>222</v>
      </c>
      <c r="F16" s="6" t="s">
        <v>223</v>
      </c>
    </row>
    <row r="17" customFormat="false" ht="27.75" hidden="false" customHeight="true" outlineLevel="0" collapsed="false">
      <c r="A17" s="4" t="s">
        <v>224</v>
      </c>
      <c r="B17" s="4" t="s">
        <v>225</v>
      </c>
      <c r="C17" s="6" t="s">
        <v>226</v>
      </c>
      <c r="D17" s="6" t="s">
        <v>227</v>
      </c>
      <c r="E17" s="6" t="s">
        <v>228</v>
      </c>
      <c r="F17" s="6" t="s">
        <v>229</v>
      </c>
    </row>
    <row r="18" customFormat="false" ht="27.75" hidden="false" customHeight="true" outlineLevel="0" collapsed="false"/>
    <row r="19" customFormat="false" ht="27.75" hidden="false" customHeight="true" outlineLevel="0" collapsed="false">
      <c r="A19" s="11" t="s">
        <v>230</v>
      </c>
    </row>
    <row r="20" customFormat="false" ht="27.75" hidden="false" customHeight="true" outlineLevel="0" collapsed="false">
      <c r="A20" s="3" t="s">
        <v>11</v>
      </c>
      <c r="B20" s="3" t="s">
        <v>231</v>
      </c>
      <c r="C20" s="3" t="s">
        <v>232</v>
      </c>
    </row>
    <row r="21" customFormat="false" ht="27.75" hidden="false" customHeight="true" outlineLevel="0" collapsed="false">
      <c r="A21" s="19" t="s">
        <v>233</v>
      </c>
      <c r="B21" s="7" t="n">
        <v>0.505</v>
      </c>
      <c r="C21" s="6" t="s">
        <v>234</v>
      </c>
    </row>
    <row r="22" customFormat="false" ht="27.75" hidden="false" customHeight="true" outlineLevel="0" collapsed="false">
      <c r="A22" s="20" t="s">
        <v>235</v>
      </c>
      <c r="B22" s="7" t="n">
        <v>0.14</v>
      </c>
      <c r="C22" s="6" t="s">
        <v>236</v>
      </c>
    </row>
    <row r="23" customFormat="false" ht="27.75" hidden="false" customHeight="true" outlineLevel="0" collapsed="false">
      <c r="A23" s="21" t="s">
        <v>237</v>
      </c>
      <c r="B23" s="7" t="n">
        <v>0</v>
      </c>
      <c r="C23" s="6" t="s">
        <v>238</v>
      </c>
    </row>
    <row r="25" customFormat="false" ht="30" hidden="false" customHeight="true" outlineLevel="0" collapsed="false">
      <c r="A25" s="22" t="s">
        <v>239</v>
      </c>
      <c r="B25" s="22"/>
      <c r="C25" s="22"/>
      <c r="D25" s="22"/>
      <c r="E25" s="22"/>
      <c r="F25" s="22"/>
    </row>
    <row r="26" customFormat="false" ht="15" hidden="false" customHeight="false" outlineLevel="0" collapsed="false">
      <c r="A26" s="22"/>
      <c r="B26" s="22"/>
      <c r="C26" s="22"/>
      <c r="D26" s="22"/>
      <c r="E26" s="22"/>
      <c r="F26" s="22"/>
    </row>
  </sheetData>
  <mergeCells count="1">
    <mergeCell ref="A25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12" min="3" style="0" width="8.5"/>
  </cols>
  <sheetData>
    <row r="1" customFormat="false" ht="17.35" hidden="false" customHeight="false" outlineLevel="0" collapsed="false">
      <c r="A1" s="1" t="s">
        <v>240</v>
      </c>
    </row>
    <row r="2" customFormat="false" ht="15" hidden="false" customHeight="false" outlineLevel="0" collapsed="false">
      <c r="A2" s="2" t="s">
        <v>241</v>
      </c>
    </row>
    <row r="4" customFormat="false" ht="15" hidden="false" customHeight="false" outlineLevel="0" collapsed="false">
      <c r="B4" s="23" t="s">
        <v>242</v>
      </c>
    </row>
    <row r="5" customFormat="false" ht="30" hidden="false" customHeight="true" outlineLevel="0" collapsed="false">
      <c r="A5" s="24" t="s">
        <v>243</v>
      </c>
      <c r="B5" s="25" t="n">
        <v>1</v>
      </c>
      <c r="C5" s="26" t="str">
        <f aca="false">TRIM(IF(AND(ABS('Реестр рисков'!$G$5-0.1)&lt;0.001,ABS('Реестр рисков'!$H$5-1)&lt;0.001),'Реестр рисков'!$B$5&amp;" ","")&amp;IF(AND(ABS('Реестр рисков'!$G$6-0.1)&lt;0.001,ABS('Реестр рисков'!$H$6-1)&lt;0.001),'Реестр рисков'!$B$6&amp;" ","")&amp;IF(AND(ABS('Реестр рисков'!$G$7-0.1)&lt;0.001,ABS('Реестр рисков'!$H$7-1)&lt;0.001),'Реестр рисков'!$B$7&amp;" ","")&amp;IF(AND(ABS('Реестр рисков'!$G$8-0.1)&lt;0.001,ABS('Реестр рисков'!$H$8-1)&lt;0.001),'Реестр рисков'!$B$8&amp;" ","")&amp;IF(AND(ABS('Реестр рисков'!$G$9-0.1)&lt;0.001,ABS('Реестр рисков'!$H$9-1)&lt;0.001),'Реестр рисков'!$B$9&amp;" ","")&amp;IF(AND(ABS('Реестр рисков'!$G$10-0.1)&lt;0.001,ABS('Реестр рисков'!$H$10-1)&lt;0.001),'Реестр рисков'!$B$10&amp;" ","")&amp;IF(AND(ABS('Реестр рисков'!$G$11-0.1)&lt;0.001,ABS('Реестр рисков'!$H$11-1)&lt;0.001),'Реестр рисков'!$B$11&amp;" ","")&amp;IF(AND(ABS('Реестр рисков'!$G$12-0.1)&lt;0.001,ABS('Реестр рисков'!$H$12-1)&lt;0.001),'Реестр рисков'!$B$12&amp;" ","")&amp;IF(AND(ABS('Реестр рисков'!$G$13-0.1)&lt;0.001,ABS('Реестр рисков'!$H$13-1)&lt;0.001),'Реестр рисков'!$B$13&amp;" ","")&amp;IF(AND(ABS('Реестр рисков'!$G$14-0.1)&lt;0.001,ABS('Реестр рисков'!$H$14-1)&lt;0.001),'Реестр рисков'!$B$14&amp;" ","")&amp;IF(AND(ABS('Реестр рисков'!$G$15-0.1)&lt;0.001,ABS('Реестр рисков'!$H$15-1)&lt;0.001),'Реестр рисков'!$B$15&amp;" ","")&amp;IF(AND(ABS('Реестр рисков'!$G$16-0.1)&lt;0.001,ABS('Реестр рисков'!$H$16-1)&lt;0.001),'Реестр рисков'!$B$16&amp;" ","")&amp;IF(AND(ABS('Реестр рисков'!$G$17-0.1)&lt;0.001,ABS('Реестр рисков'!$H$17-1)&lt;0.001),'Реестр рисков'!$B$17&amp;" ","")&amp;IF(AND(ABS('Реестр рисков'!$G$18-0.1)&lt;0.001,ABS('Реестр рисков'!$H$18-1)&lt;0.001),'Реестр рисков'!$B$18&amp;" ","")&amp;IF(AND(ABS('Реестр рисков'!$G$19-0.1)&lt;0.001,ABS('Реестр рисков'!$H$19-1)&lt;0.001),'Реестр рисков'!$B$19&amp;" ","")&amp;IF(AND(ABS('Реестр рисков'!$G$20-0.1)&lt;0.001,ABS('Реестр рисков'!$H$20-1)&lt;0.001),'Реестр рисков'!$B$20&amp;" ","")&amp;IF(AND(ABS('Реестр рисков'!$G$21-0.1)&lt;0.001,ABS('Реестр рисков'!$H$21-1)&lt;0.001),'Реестр рисков'!$B$21&amp;" ","")&amp;IF(AND(ABS('Реестр рисков'!$G$22-0.1)&lt;0.001,ABS('Реестр рисков'!$H$22-1)&lt;0.001),'Реестр рисков'!$B$22&amp;" ","")&amp;IF(AND(ABS('Реестр рисков'!$G$23-0.1)&lt;0.001,ABS('Реестр рисков'!$H$23-1)&lt;0.001),'Реестр рисков'!$B$23&amp;" ",""))</f>
        <v/>
      </c>
      <c r="D5" s="27" t="str">
        <f aca="false">TRIM(IF(AND(ABS('Реестр рисков'!$G$5-0.2)&lt;0.001,ABS('Реестр рисков'!$H$5-1)&lt;0.001),'Реестр рисков'!$B$5&amp;" ","")&amp;IF(AND(ABS('Реестр рисков'!$G$6-0.2)&lt;0.001,ABS('Реестр рисков'!$H$6-1)&lt;0.001),'Реестр рисков'!$B$6&amp;" ","")&amp;IF(AND(ABS('Реестр рисков'!$G$7-0.2)&lt;0.001,ABS('Реестр рисков'!$H$7-1)&lt;0.001),'Реестр рисков'!$B$7&amp;" ","")&amp;IF(AND(ABS('Реестр рисков'!$G$8-0.2)&lt;0.001,ABS('Реестр рисков'!$H$8-1)&lt;0.001),'Реестр рисков'!$B$8&amp;" ","")&amp;IF(AND(ABS('Реестр рисков'!$G$9-0.2)&lt;0.001,ABS('Реестр рисков'!$H$9-1)&lt;0.001),'Реестр рисков'!$B$9&amp;" ","")&amp;IF(AND(ABS('Реестр рисков'!$G$10-0.2)&lt;0.001,ABS('Реестр рисков'!$H$10-1)&lt;0.001),'Реестр рисков'!$B$10&amp;" ","")&amp;IF(AND(ABS('Реестр рисков'!$G$11-0.2)&lt;0.001,ABS('Реестр рисков'!$H$11-1)&lt;0.001),'Реестр рисков'!$B$11&amp;" ","")&amp;IF(AND(ABS('Реестр рисков'!$G$12-0.2)&lt;0.001,ABS('Реестр рисков'!$H$12-1)&lt;0.001),'Реестр рисков'!$B$12&amp;" ","")&amp;IF(AND(ABS('Реестр рисков'!$G$13-0.2)&lt;0.001,ABS('Реестр рисков'!$H$13-1)&lt;0.001),'Реестр рисков'!$B$13&amp;" ","")&amp;IF(AND(ABS('Реестр рисков'!$G$14-0.2)&lt;0.001,ABS('Реестр рисков'!$H$14-1)&lt;0.001),'Реестр рисков'!$B$14&amp;" ","")&amp;IF(AND(ABS('Реестр рисков'!$G$15-0.2)&lt;0.001,ABS('Реестр рисков'!$H$15-1)&lt;0.001),'Реестр рисков'!$B$15&amp;" ","")&amp;IF(AND(ABS('Реестр рисков'!$G$16-0.2)&lt;0.001,ABS('Реестр рисков'!$H$16-1)&lt;0.001),'Реестр рисков'!$B$16&amp;" ","")&amp;IF(AND(ABS('Реестр рисков'!$G$17-0.2)&lt;0.001,ABS('Реестр рисков'!$H$17-1)&lt;0.001),'Реестр рисков'!$B$17&amp;" ","")&amp;IF(AND(ABS('Реестр рисков'!$G$18-0.2)&lt;0.001,ABS('Реестр рисков'!$H$18-1)&lt;0.001),'Реестр рисков'!$B$18&amp;" ","")&amp;IF(AND(ABS('Реестр рисков'!$G$19-0.2)&lt;0.001,ABS('Реестр рисков'!$H$19-1)&lt;0.001),'Реестр рисков'!$B$19&amp;" ","")&amp;IF(AND(ABS('Реестр рисков'!$G$20-0.2)&lt;0.001,ABS('Реестр рисков'!$H$20-1)&lt;0.001),'Реестр рисков'!$B$20&amp;" ","")&amp;IF(AND(ABS('Реестр рисков'!$G$21-0.2)&lt;0.001,ABS('Реестр рисков'!$H$21-1)&lt;0.001),'Реестр рисков'!$B$21&amp;" ","")&amp;IF(AND(ABS('Реестр рисков'!$G$22-0.2)&lt;0.001,ABS('Реестр рисков'!$H$22-1)&lt;0.001),'Реестр рисков'!$B$22&amp;" ","")&amp;IF(AND(ABS('Реестр рисков'!$G$23-0.2)&lt;0.001,ABS('Реестр рисков'!$H$23-1)&lt;0.001),'Реестр рисков'!$B$23&amp;" ",""))</f>
        <v>R16</v>
      </c>
      <c r="E5" s="27" t="str">
        <f aca="false">TRIM(IF(AND(ABS('Реестр рисков'!$G$5-0.3)&lt;0.001,ABS('Реестр рисков'!$H$5-1)&lt;0.001),'Реестр рисков'!$B$5&amp;" ","")&amp;IF(AND(ABS('Реестр рисков'!$G$6-0.3)&lt;0.001,ABS('Реестр рисков'!$H$6-1)&lt;0.001),'Реестр рисков'!$B$6&amp;" ","")&amp;IF(AND(ABS('Реестр рисков'!$G$7-0.3)&lt;0.001,ABS('Реестр рисков'!$H$7-1)&lt;0.001),'Реестр рисков'!$B$7&amp;" ","")&amp;IF(AND(ABS('Реестр рисков'!$G$8-0.3)&lt;0.001,ABS('Реестр рисков'!$H$8-1)&lt;0.001),'Реестр рисков'!$B$8&amp;" ","")&amp;IF(AND(ABS('Реестр рисков'!$G$9-0.3)&lt;0.001,ABS('Реестр рисков'!$H$9-1)&lt;0.001),'Реестр рисков'!$B$9&amp;" ","")&amp;IF(AND(ABS('Реестр рисков'!$G$10-0.3)&lt;0.001,ABS('Реестр рисков'!$H$10-1)&lt;0.001),'Реестр рисков'!$B$10&amp;" ","")&amp;IF(AND(ABS('Реестр рисков'!$G$11-0.3)&lt;0.001,ABS('Реестр рисков'!$H$11-1)&lt;0.001),'Реестр рисков'!$B$11&amp;" ","")&amp;IF(AND(ABS('Реестр рисков'!$G$12-0.3)&lt;0.001,ABS('Реестр рисков'!$H$12-1)&lt;0.001),'Реестр рисков'!$B$12&amp;" ","")&amp;IF(AND(ABS('Реестр рисков'!$G$13-0.3)&lt;0.001,ABS('Реестр рисков'!$H$13-1)&lt;0.001),'Реестр рисков'!$B$13&amp;" ","")&amp;IF(AND(ABS('Реестр рисков'!$G$14-0.3)&lt;0.001,ABS('Реестр рисков'!$H$14-1)&lt;0.001),'Реестр рисков'!$B$14&amp;" ","")&amp;IF(AND(ABS('Реестр рисков'!$G$15-0.3)&lt;0.001,ABS('Реестр рисков'!$H$15-1)&lt;0.001),'Реестр рисков'!$B$15&amp;" ","")&amp;IF(AND(ABS('Реестр рисков'!$G$16-0.3)&lt;0.001,ABS('Реестр рисков'!$H$16-1)&lt;0.001),'Реестр рисков'!$B$16&amp;" ","")&amp;IF(AND(ABS('Реестр рисков'!$G$17-0.3)&lt;0.001,ABS('Реестр рисков'!$H$17-1)&lt;0.001),'Реестр рисков'!$B$17&amp;" ","")&amp;IF(AND(ABS('Реестр рисков'!$G$18-0.3)&lt;0.001,ABS('Реестр рисков'!$H$18-1)&lt;0.001),'Реестр рисков'!$B$18&amp;" ","")&amp;IF(AND(ABS('Реестр рисков'!$G$19-0.3)&lt;0.001,ABS('Реестр рисков'!$H$19-1)&lt;0.001),'Реестр рисков'!$B$19&amp;" ","")&amp;IF(AND(ABS('Реестр рисков'!$G$20-0.3)&lt;0.001,ABS('Реестр рисков'!$H$20-1)&lt;0.001),'Реестр рисков'!$B$20&amp;" ","")&amp;IF(AND(ABS('Реестр рисков'!$G$21-0.3)&lt;0.001,ABS('Реестр рисков'!$H$21-1)&lt;0.001),'Реестр рисков'!$B$21&amp;" ","")&amp;IF(AND(ABS('Реестр рисков'!$G$22-0.3)&lt;0.001,ABS('Реестр рисков'!$H$22-1)&lt;0.001),'Реестр рисков'!$B$22&amp;" ","")&amp;IF(AND(ABS('Реестр рисков'!$G$23-0.3)&lt;0.001,ABS('Реестр рисков'!$H$23-1)&lt;0.001),'Реестр рисков'!$B$23&amp;" ",""))</f>
        <v/>
      </c>
      <c r="F5" s="27" t="str">
        <f aca="false">TRIM(IF(AND(ABS('Реестр рисков'!$G$5-0.4)&lt;0.001,ABS('Реестр рисков'!$H$5-1)&lt;0.001),'Реестр рисков'!$B$5&amp;" ","")&amp;IF(AND(ABS('Реестр рисков'!$G$6-0.4)&lt;0.001,ABS('Реестр рисков'!$H$6-1)&lt;0.001),'Реестр рисков'!$B$6&amp;" ","")&amp;IF(AND(ABS('Реестр рисков'!$G$7-0.4)&lt;0.001,ABS('Реестр рисков'!$H$7-1)&lt;0.001),'Реестр рисков'!$B$7&amp;" ","")&amp;IF(AND(ABS('Реестр рисков'!$G$8-0.4)&lt;0.001,ABS('Реестр рисков'!$H$8-1)&lt;0.001),'Реестр рисков'!$B$8&amp;" ","")&amp;IF(AND(ABS('Реестр рисков'!$G$9-0.4)&lt;0.001,ABS('Реестр рисков'!$H$9-1)&lt;0.001),'Реестр рисков'!$B$9&amp;" ","")&amp;IF(AND(ABS('Реестр рисков'!$G$10-0.4)&lt;0.001,ABS('Реестр рисков'!$H$10-1)&lt;0.001),'Реестр рисков'!$B$10&amp;" ","")&amp;IF(AND(ABS('Реестр рисков'!$G$11-0.4)&lt;0.001,ABS('Реестр рисков'!$H$11-1)&lt;0.001),'Реестр рисков'!$B$11&amp;" ","")&amp;IF(AND(ABS('Реестр рисков'!$G$12-0.4)&lt;0.001,ABS('Реестр рисков'!$H$12-1)&lt;0.001),'Реестр рисков'!$B$12&amp;" ","")&amp;IF(AND(ABS('Реестр рисков'!$G$13-0.4)&lt;0.001,ABS('Реестр рисков'!$H$13-1)&lt;0.001),'Реестр рисков'!$B$13&amp;" ","")&amp;IF(AND(ABS('Реестр рисков'!$G$14-0.4)&lt;0.001,ABS('Реестр рисков'!$H$14-1)&lt;0.001),'Реестр рисков'!$B$14&amp;" ","")&amp;IF(AND(ABS('Реестр рисков'!$G$15-0.4)&lt;0.001,ABS('Реестр рисков'!$H$15-1)&lt;0.001),'Реестр рисков'!$B$15&amp;" ","")&amp;IF(AND(ABS('Реестр рисков'!$G$16-0.4)&lt;0.001,ABS('Реестр рисков'!$H$16-1)&lt;0.001),'Реестр рисков'!$B$16&amp;" ","")&amp;IF(AND(ABS('Реестр рисков'!$G$17-0.4)&lt;0.001,ABS('Реестр рисков'!$H$17-1)&lt;0.001),'Реестр рисков'!$B$17&amp;" ","")&amp;IF(AND(ABS('Реестр рисков'!$G$18-0.4)&lt;0.001,ABS('Реестр рисков'!$H$18-1)&lt;0.001),'Реестр рисков'!$B$18&amp;" ","")&amp;IF(AND(ABS('Реестр рисков'!$G$19-0.4)&lt;0.001,ABS('Реестр рисков'!$H$19-1)&lt;0.001),'Реестр рисков'!$B$19&amp;" ","")&amp;IF(AND(ABS('Реестр рисков'!$G$20-0.4)&lt;0.001,ABS('Реестр рисков'!$H$20-1)&lt;0.001),'Реестр рисков'!$B$20&amp;" ","")&amp;IF(AND(ABS('Реестр рисков'!$G$21-0.4)&lt;0.001,ABS('Реестр рисков'!$H$21-1)&lt;0.001),'Реестр рисков'!$B$21&amp;" ","")&amp;IF(AND(ABS('Реестр рисков'!$G$22-0.4)&lt;0.001,ABS('Реестр рисков'!$H$22-1)&lt;0.001),'Реестр рисков'!$B$22&amp;" ","")&amp;IF(AND(ABS('Реестр рисков'!$G$23-0.4)&lt;0.001,ABS('Реестр рисков'!$H$23-1)&lt;0.001),'Реестр рисков'!$B$23&amp;" ",""))</f>
        <v/>
      </c>
      <c r="G5" s="27" t="str">
        <f aca="false">TRIM(IF(AND(ABS('Реестр рисков'!$G$5-0.5)&lt;0.001,ABS('Реестр рисков'!$H$5-1)&lt;0.001),'Реестр рисков'!$B$5&amp;" ","")&amp;IF(AND(ABS('Реестр рисков'!$G$6-0.5)&lt;0.001,ABS('Реестр рисков'!$H$6-1)&lt;0.001),'Реестр рисков'!$B$6&amp;" ","")&amp;IF(AND(ABS('Реестр рисков'!$G$7-0.5)&lt;0.001,ABS('Реестр рисков'!$H$7-1)&lt;0.001),'Реестр рисков'!$B$7&amp;" ","")&amp;IF(AND(ABS('Реестр рисков'!$G$8-0.5)&lt;0.001,ABS('Реестр рисков'!$H$8-1)&lt;0.001),'Реестр рисков'!$B$8&amp;" ","")&amp;IF(AND(ABS('Реестр рисков'!$G$9-0.5)&lt;0.001,ABS('Реестр рисков'!$H$9-1)&lt;0.001),'Реестр рисков'!$B$9&amp;" ","")&amp;IF(AND(ABS('Реестр рисков'!$G$10-0.5)&lt;0.001,ABS('Реестр рисков'!$H$10-1)&lt;0.001),'Реестр рисков'!$B$10&amp;" ","")&amp;IF(AND(ABS('Реестр рисков'!$G$11-0.5)&lt;0.001,ABS('Реестр рисков'!$H$11-1)&lt;0.001),'Реестр рисков'!$B$11&amp;" ","")&amp;IF(AND(ABS('Реестр рисков'!$G$12-0.5)&lt;0.001,ABS('Реестр рисков'!$H$12-1)&lt;0.001),'Реестр рисков'!$B$12&amp;" ","")&amp;IF(AND(ABS('Реестр рисков'!$G$13-0.5)&lt;0.001,ABS('Реестр рисков'!$H$13-1)&lt;0.001),'Реестр рисков'!$B$13&amp;" ","")&amp;IF(AND(ABS('Реестр рисков'!$G$14-0.5)&lt;0.001,ABS('Реестр рисков'!$H$14-1)&lt;0.001),'Реестр рисков'!$B$14&amp;" ","")&amp;IF(AND(ABS('Реестр рисков'!$G$15-0.5)&lt;0.001,ABS('Реестр рисков'!$H$15-1)&lt;0.001),'Реестр рисков'!$B$15&amp;" ","")&amp;IF(AND(ABS('Реестр рисков'!$G$16-0.5)&lt;0.001,ABS('Реестр рисков'!$H$16-1)&lt;0.001),'Реестр рисков'!$B$16&amp;" ","")&amp;IF(AND(ABS('Реестр рисков'!$G$17-0.5)&lt;0.001,ABS('Реестр рисков'!$H$17-1)&lt;0.001),'Реестр рисков'!$B$17&amp;" ","")&amp;IF(AND(ABS('Реестр рисков'!$G$18-0.5)&lt;0.001,ABS('Реестр рисков'!$H$18-1)&lt;0.001),'Реестр рисков'!$B$18&amp;" ","")&amp;IF(AND(ABS('Реестр рисков'!$G$19-0.5)&lt;0.001,ABS('Реестр рисков'!$H$19-1)&lt;0.001),'Реестр рисков'!$B$19&amp;" ","")&amp;IF(AND(ABS('Реестр рисков'!$G$20-0.5)&lt;0.001,ABS('Реестр рисков'!$H$20-1)&lt;0.001),'Реестр рисков'!$B$20&amp;" ","")&amp;IF(AND(ABS('Реестр рисков'!$G$21-0.5)&lt;0.001,ABS('Реестр рисков'!$H$21-1)&lt;0.001),'Реестр рисков'!$B$21&amp;" ","")&amp;IF(AND(ABS('Реестр рисков'!$G$22-0.5)&lt;0.001,ABS('Реестр рисков'!$H$22-1)&lt;0.001),'Реестр рисков'!$B$22&amp;" ","")&amp;IF(AND(ABS('Реестр рисков'!$G$23-0.5)&lt;0.001,ABS('Реестр рисков'!$H$23-1)&lt;0.001),'Реестр рисков'!$B$23&amp;" ",""))</f>
        <v/>
      </c>
      <c r="H5" s="28" t="str">
        <f aca="false">TRIM(IF(AND(ABS('Реестр рисков'!$G$5-0.6)&lt;0.001,ABS('Реестр рисков'!$H$5-1)&lt;0.001),'Реестр рисков'!$B$5&amp;" ","")&amp;IF(AND(ABS('Реестр рисков'!$G$6-0.6)&lt;0.001,ABS('Реестр рисков'!$H$6-1)&lt;0.001),'Реестр рисков'!$B$6&amp;" ","")&amp;IF(AND(ABS('Реестр рисков'!$G$7-0.6)&lt;0.001,ABS('Реестр рисков'!$H$7-1)&lt;0.001),'Реестр рисков'!$B$7&amp;" ","")&amp;IF(AND(ABS('Реестр рисков'!$G$8-0.6)&lt;0.001,ABS('Реестр рисков'!$H$8-1)&lt;0.001),'Реестр рисков'!$B$8&amp;" ","")&amp;IF(AND(ABS('Реестр рисков'!$G$9-0.6)&lt;0.001,ABS('Реестр рисков'!$H$9-1)&lt;0.001),'Реестр рисков'!$B$9&amp;" ","")&amp;IF(AND(ABS('Реестр рисков'!$G$10-0.6)&lt;0.001,ABS('Реестр рисков'!$H$10-1)&lt;0.001),'Реестр рисков'!$B$10&amp;" ","")&amp;IF(AND(ABS('Реестр рисков'!$G$11-0.6)&lt;0.001,ABS('Реестр рисков'!$H$11-1)&lt;0.001),'Реестр рисков'!$B$11&amp;" ","")&amp;IF(AND(ABS('Реестр рисков'!$G$12-0.6)&lt;0.001,ABS('Реестр рисков'!$H$12-1)&lt;0.001),'Реестр рисков'!$B$12&amp;" ","")&amp;IF(AND(ABS('Реестр рисков'!$G$13-0.6)&lt;0.001,ABS('Реестр рисков'!$H$13-1)&lt;0.001),'Реестр рисков'!$B$13&amp;" ","")&amp;IF(AND(ABS('Реестр рисков'!$G$14-0.6)&lt;0.001,ABS('Реестр рисков'!$H$14-1)&lt;0.001),'Реестр рисков'!$B$14&amp;" ","")&amp;IF(AND(ABS('Реестр рисков'!$G$15-0.6)&lt;0.001,ABS('Реестр рисков'!$H$15-1)&lt;0.001),'Реестр рисков'!$B$15&amp;" ","")&amp;IF(AND(ABS('Реестр рисков'!$G$16-0.6)&lt;0.001,ABS('Реестр рисков'!$H$16-1)&lt;0.001),'Реестр рисков'!$B$16&amp;" ","")&amp;IF(AND(ABS('Реестр рисков'!$G$17-0.6)&lt;0.001,ABS('Реестр рисков'!$H$17-1)&lt;0.001),'Реестр рисков'!$B$17&amp;" ","")&amp;IF(AND(ABS('Реестр рисков'!$G$18-0.6)&lt;0.001,ABS('Реестр рисков'!$H$18-1)&lt;0.001),'Реестр рисков'!$B$18&amp;" ","")&amp;IF(AND(ABS('Реестр рисков'!$G$19-0.6)&lt;0.001,ABS('Реестр рисков'!$H$19-1)&lt;0.001),'Реестр рисков'!$B$19&amp;" ","")&amp;IF(AND(ABS('Реестр рисков'!$G$20-0.6)&lt;0.001,ABS('Реестр рисков'!$H$20-1)&lt;0.001),'Реестр рисков'!$B$20&amp;" ","")&amp;IF(AND(ABS('Реестр рисков'!$G$21-0.6)&lt;0.001,ABS('Реестр рисков'!$H$21-1)&lt;0.001),'Реестр рисков'!$B$21&amp;" ","")&amp;IF(AND(ABS('Реестр рисков'!$G$22-0.6)&lt;0.001,ABS('Реестр рисков'!$H$22-1)&lt;0.001),'Реестр рисков'!$B$22&amp;" ","")&amp;IF(AND(ABS('Реестр рисков'!$G$23-0.6)&lt;0.001,ABS('Реестр рисков'!$H$23-1)&lt;0.001),'Реестр рисков'!$B$23&amp;" ",""))</f>
        <v/>
      </c>
      <c r="I5" s="28" t="str">
        <f aca="false">TRIM(IF(AND(ABS('Реестр рисков'!$G$5-0.7)&lt;0.001,ABS('Реестр рисков'!$H$5-1)&lt;0.001),'Реестр рисков'!$B$5&amp;" ","")&amp;IF(AND(ABS('Реестр рисков'!$G$6-0.7)&lt;0.001,ABS('Реестр рисков'!$H$6-1)&lt;0.001),'Реестр рисков'!$B$6&amp;" ","")&amp;IF(AND(ABS('Реестр рисков'!$G$7-0.7)&lt;0.001,ABS('Реестр рисков'!$H$7-1)&lt;0.001),'Реестр рисков'!$B$7&amp;" ","")&amp;IF(AND(ABS('Реестр рисков'!$G$8-0.7)&lt;0.001,ABS('Реестр рисков'!$H$8-1)&lt;0.001),'Реестр рисков'!$B$8&amp;" ","")&amp;IF(AND(ABS('Реестр рисков'!$G$9-0.7)&lt;0.001,ABS('Реестр рисков'!$H$9-1)&lt;0.001),'Реестр рисков'!$B$9&amp;" ","")&amp;IF(AND(ABS('Реестр рисков'!$G$10-0.7)&lt;0.001,ABS('Реестр рисков'!$H$10-1)&lt;0.001),'Реестр рисков'!$B$10&amp;" ","")&amp;IF(AND(ABS('Реестр рисков'!$G$11-0.7)&lt;0.001,ABS('Реестр рисков'!$H$11-1)&lt;0.001),'Реестр рисков'!$B$11&amp;" ","")&amp;IF(AND(ABS('Реестр рисков'!$G$12-0.7)&lt;0.001,ABS('Реестр рисков'!$H$12-1)&lt;0.001),'Реестр рисков'!$B$12&amp;" ","")&amp;IF(AND(ABS('Реестр рисков'!$G$13-0.7)&lt;0.001,ABS('Реестр рисков'!$H$13-1)&lt;0.001),'Реестр рисков'!$B$13&amp;" ","")&amp;IF(AND(ABS('Реестр рисков'!$G$14-0.7)&lt;0.001,ABS('Реестр рисков'!$H$14-1)&lt;0.001),'Реестр рисков'!$B$14&amp;" ","")&amp;IF(AND(ABS('Реестр рисков'!$G$15-0.7)&lt;0.001,ABS('Реестр рисков'!$H$15-1)&lt;0.001),'Реестр рисков'!$B$15&amp;" ","")&amp;IF(AND(ABS('Реестр рисков'!$G$16-0.7)&lt;0.001,ABS('Реестр рисков'!$H$16-1)&lt;0.001),'Реестр рисков'!$B$16&amp;" ","")&amp;IF(AND(ABS('Реестр рисков'!$G$17-0.7)&lt;0.001,ABS('Реестр рисков'!$H$17-1)&lt;0.001),'Реестр рисков'!$B$17&amp;" ","")&amp;IF(AND(ABS('Реестр рисков'!$G$18-0.7)&lt;0.001,ABS('Реестр рисков'!$H$18-1)&lt;0.001),'Реестр рисков'!$B$18&amp;" ","")&amp;IF(AND(ABS('Реестр рисков'!$G$19-0.7)&lt;0.001,ABS('Реестр рисков'!$H$19-1)&lt;0.001),'Реестр рисков'!$B$19&amp;" ","")&amp;IF(AND(ABS('Реестр рисков'!$G$20-0.7)&lt;0.001,ABS('Реестр рисков'!$H$20-1)&lt;0.001),'Реестр рисков'!$B$20&amp;" ","")&amp;IF(AND(ABS('Реестр рисков'!$G$21-0.7)&lt;0.001,ABS('Реестр рисков'!$H$21-1)&lt;0.001),'Реестр рисков'!$B$21&amp;" ","")&amp;IF(AND(ABS('Реестр рисков'!$G$22-0.7)&lt;0.001,ABS('Реестр рисков'!$H$22-1)&lt;0.001),'Реестр рисков'!$B$22&amp;" ","")&amp;IF(AND(ABS('Реестр рисков'!$G$23-0.7)&lt;0.001,ABS('Реестр рисков'!$H$23-1)&lt;0.001),'Реестр рисков'!$B$23&amp;" ",""))</f>
        <v/>
      </c>
      <c r="J5" s="28" t="str">
        <f aca="false">TRIM(IF(AND(ABS('Реестр рисков'!$G$5-0.8)&lt;0.001,ABS('Реестр рисков'!$H$5-1)&lt;0.001),'Реестр рисков'!$B$5&amp;" ","")&amp;IF(AND(ABS('Реестр рисков'!$G$6-0.8)&lt;0.001,ABS('Реестр рисков'!$H$6-1)&lt;0.001),'Реестр рисков'!$B$6&amp;" ","")&amp;IF(AND(ABS('Реестр рисков'!$G$7-0.8)&lt;0.001,ABS('Реестр рисков'!$H$7-1)&lt;0.001),'Реестр рисков'!$B$7&amp;" ","")&amp;IF(AND(ABS('Реестр рисков'!$G$8-0.8)&lt;0.001,ABS('Реестр рисков'!$H$8-1)&lt;0.001),'Реестр рисков'!$B$8&amp;" ","")&amp;IF(AND(ABS('Реестр рисков'!$G$9-0.8)&lt;0.001,ABS('Реестр рисков'!$H$9-1)&lt;0.001),'Реестр рисков'!$B$9&amp;" ","")&amp;IF(AND(ABS('Реестр рисков'!$G$10-0.8)&lt;0.001,ABS('Реестр рисков'!$H$10-1)&lt;0.001),'Реестр рисков'!$B$10&amp;" ","")&amp;IF(AND(ABS('Реестр рисков'!$G$11-0.8)&lt;0.001,ABS('Реестр рисков'!$H$11-1)&lt;0.001),'Реестр рисков'!$B$11&amp;" ","")&amp;IF(AND(ABS('Реестр рисков'!$G$12-0.8)&lt;0.001,ABS('Реестр рисков'!$H$12-1)&lt;0.001),'Реестр рисков'!$B$12&amp;" ","")&amp;IF(AND(ABS('Реестр рисков'!$G$13-0.8)&lt;0.001,ABS('Реестр рисков'!$H$13-1)&lt;0.001),'Реестр рисков'!$B$13&amp;" ","")&amp;IF(AND(ABS('Реестр рисков'!$G$14-0.8)&lt;0.001,ABS('Реестр рисков'!$H$14-1)&lt;0.001),'Реестр рисков'!$B$14&amp;" ","")&amp;IF(AND(ABS('Реестр рисков'!$G$15-0.8)&lt;0.001,ABS('Реестр рисков'!$H$15-1)&lt;0.001),'Реестр рисков'!$B$15&amp;" ","")&amp;IF(AND(ABS('Реестр рисков'!$G$16-0.8)&lt;0.001,ABS('Реестр рисков'!$H$16-1)&lt;0.001),'Реестр рисков'!$B$16&amp;" ","")&amp;IF(AND(ABS('Реестр рисков'!$G$17-0.8)&lt;0.001,ABS('Реестр рисков'!$H$17-1)&lt;0.001),'Реестр рисков'!$B$17&amp;" ","")&amp;IF(AND(ABS('Реестр рисков'!$G$18-0.8)&lt;0.001,ABS('Реестр рисков'!$H$18-1)&lt;0.001),'Реестр рисков'!$B$18&amp;" ","")&amp;IF(AND(ABS('Реестр рисков'!$G$19-0.8)&lt;0.001,ABS('Реестр рисков'!$H$19-1)&lt;0.001),'Реестр рисков'!$B$19&amp;" ","")&amp;IF(AND(ABS('Реестр рисков'!$G$20-0.8)&lt;0.001,ABS('Реестр рисков'!$H$20-1)&lt;0.001),'Реестр рисков'!$B$20&amp;" ","")&amp;IF(AND(ABS('Реестр рисков'!$G$21-0.8)&lt;0.001,ABS('Реестр рисков'!$H$21-1)&lt;0.001),'Реестр рисков'!$B$21&amp;" ","")&amp;IF(AND(ABS('Реестр рисков'!$G$22-0.8)&lt;0.001,ABS('Реестр рисков'!$H$22-1)&lt;0.001),'Реестр рисков'!$B$22&amp;" ","")&amp;IF(AND(ABS('Реестр рисков'!$G$23-0.8)&lt;0.001,ABS('Реестр рисков'!$H$23-1)&lt;0.001),'Реестр рисков'!$B$23&amp;" ",""))</f>
        <v/>
      </c>
      <c r="K5" s="28" t="str">
        <f aca="false">TRIM(IF(AND(ABS('Реестр рисков'!$G$5-0.9)&lt;0.001,ABS('Реестр рисков'!$H$5-1)&lt;0.001),'Реестр рисков'!$B$5&amp;" ","")&amp;IF(AND(ABS('Реестр рисков'!$G$6-0.9)&lt;0.001,ABS('Реестр рисков'!$H$6-1)&lt;0.001),'Реестр рисков'!$B$6&amp;" ","")&amp;IF(AND(ABS('Реестр рисков'!$G$7-0.9)&lt;0.001,ABS('Реестр рисков'!$H$7-1)&lt;0.001),'Реестр рисков'!$B$7&amp;" ","")&amp;IF(AND(ABS('Реестр рисков'!$G$8-0.9)&lt;0.001,ABS('Реестр рисков'!$H$8-1)&lt;0.001),'Реестр рисков'!$B$8&amp;" ","")&amp;IF(AND(ABS('Реестр рисков'!$G$9-0.9)&lt;0.001,ABS('Реестр рисков'!$H$9-1)&lt;0.001),'Реестр рисков'!$B$9&amp;" ","")&amp;IF(AND(ABS('Реестр рисков'!$G$10-0.9)&lt;0.001,ABS('Реестр рисков'!$H$10-1)&lt;0.001),'Реестр рисков'!$B$10&amp;" ","")&amp;IF(AND(ABS('Реестр рисков'!$G$11-0.9)&lt;0.001,ABS('Реестр рисков'!$H$11-1)&lt;0.001),'Реестр рисков'!$B$11&amp;" ","")&amp;IF(AND(ABS('Реестр рисков'!$G$12-0.9)&lt;0.001,ABS('Реестр рисков'!$H$12-1)&lt;0.001),'Реестр рисков'!$B$12&amp;" ","")&amp;IF(AND(ABS('Реестр рисков'!$G$13-0.9)&lt;0.001,ABS('Реестр рисков'!$H$13-1)&lt;0.001),'Реестр рисков'!$B$13&amp;" ","")&amp;IF(AND(ABS('Реестр рисков'!$G$14-0.9)&lt;0.001,ABS('Реестр рисков'!$H$14-1)&lt;0.001),'Реестр рисков'!$B$14&amp;" ","")&amp;IF(AND(ABS('Реестр рисков'!$G$15-0.9)&lt;0.001,ABS('Реестр рисков'!$H$15-1)&lt;0.001),'Реестр рисков'!$B$15&amp;" ","")&amp;IF(AND(ABS('Реестр рисков'!$G$16-0.9)&lt;0.001,ABS('Реестр рисков'!$H$16-1)&lt;0.001),'Реестр рисков'!$B$16&amp;" ","")&amp;IF(AND(ABS('Реестр рисков'!$G$17-0.9)&lt;0.001,ABS('Реестр рисков'!$H$17-1)&lt;0.001),'Реестр рисков'!$B$17&amp;" ","")&amp;IF(AND(ABS('Реестр рисков'!$G$18-0.9)&lt;0.001,ABS('Реестр рисков'!$H$18-1)&lt;0.001),'Реестр рисков'!$B$18&amp;" ","")&amp;IF(AND(ABS('Реестр рисков'!$G$19-0.9)&lt;0.001,ABS('Реестр рисков'!$H$19-1)&lt;0.001),'Реестр рисков'!$B$19&amp;" ","")&amp;IF(AND(ABS('Реестр рисков'!$G$20-0.9)&lt;0.001,ABS('Реестр рисков'!$H$20-1)&lt;0.001),'Реестр рисков'!$B$20&amp;" ","")&amp;IF(AND(ABS('Реестр рисков'!$G$21-0.9)&lt;0.001,ABS('Реестр рисков'!$H$21-1)&lt;0.001),'Реестр рисков'!$B$21&amp;" ","")&amp;IF(AND(ABS('Реестр рисков'!$G$22-0.9)&lt;0.001,ABS('Реестр рисков'!$H$22-1)&lt;0.001),'Реестр рисков'!$B$22&amp;" ","")&amp;IF(AND(ABS('Реестр рисков'!$G$23-0.9)&lt;0.001,ABS('Реестр рисков'!$H$23-1)&lt;0.001),'Реестр рисков'!$B$23&amp;" ",""))</f>
        <v/>
      </c>
      <c r="L5" s="28" t="str">
        <f aca="false">TRIM(IF(AND(ABS('Реестр рисков'!$G$5-1)&lt;0.001,ABS('Реестр рисков'!$H$5-1)&lt;0.001),'Реестр рисков'!$B$5&amp;" ","")&amp;IF(AND(ABS('Реестр рисков'!$G$6-1)&lt;0.001,ABS('Реестр рисков'!$H$6-1)&lt;0.001),'Реестр рисков'!$B$6&amp;" ","")&amp;IF(AND(ABS('Реестр рисков'!$G$7-1)&lt;0.001,ABS('Реестр рисков'!$H$7-1)&lt;0.001),'Реестр рисков'!$B$7&amp;" ","")&amp;IF(AND(ABS('Реестр рисков'!$G$8-1)&lt;0.001,ABS('Реестр рисков'!$H$8-1)&lt;0.001),'Реестр рисков'!$B$8&amp;" ","")&amp;IF(AND(ABS('Реестр рисков'!$G$9-1)&lt;0.001,ABS('Реестр рисков'!$H$9-1)&lt;0.001),'Реестр рисков'!$B$9&amp;" ","")&amp;IF(AND(ABS('Реестр рисков'!$G$10-1)&lt;0.001,ABS('Реестр рисков'!$H$10-1)&lt;0.001),'Реестр рисков'!$B$10&amp;" ","")&amp;IF(AND(ABS('Реестр рисков'!$G$11-1)&lt;0.001,ABS('Реестр рисков'!$H$11-1)&lt;0.001),'Реестр рисков'!$B$11&amp;" ","")&amp;IF(AND(ABS('Реестр рисков'!$G$12-1)&lt;0.001,ABS('Реестр рисков'!$H$12-1)&lt;0.001),'Реестр рисков'!$B$12&amp;" ","")&amp;IF(AND(ABS('Реестр рисков'!$G$13-1)&lt;0.001,ABS('Реестр рисков'!$H$13-1)&lt;0.001),'Реестр рисков'!$B$13&amp;" ","")&amp;IF(AND(ABS('Реестр рисков'!$G$14-1)&lt;0.001,ABS('Реестр рисков'!$H$14-1)&lt;0.001),'Реестр рисков'!$B$14&amp;" ","")&amp;IF(AND(ABS('Реестр рисков'!$G$15-1)&lt;0.001,ABS('Реестр рисков'!$H$15-1)&lt;0.001),'Реестр рисков'!$B$15&amp;" ","")&amp;IF(AND(ABS('Реестр рисков'!$G$16-1)&lt;0.001,ABS('Реестр рисков'!$H$16-1)&lt;0.001),'Реестр рисков'!$B$16&amp;" ","")&amp;IF(AND(ABS('Реестр рисков'!$G$17-1)&lt;0.001,ABS('Реестр рисков'!$H$17-1)&lt;0.001),'Реестр рисков'!$B$17&amp;" ","")&amp;IF(AND(ABS('Реестр рисков'!$G$18-1)&lt;0.001,ABS('Реестр рисков'!$H$18-1)&lt;0.001),'Реестр рисков'!$B$18&amp;" ","")&amp;IF(AND(ABS('Реестр рисков'!$G$19-1)&lt;0.001,ABS('Реестр рисков'!$H$19-1)&lt;0.001),'Реестр рисков'!$B$19&amp;" ","")&amp;IF(AND(ABS('Реестр рисков'!$G$20-1)&lt;0.001,ABS('Реестр рисков'!$H$20-1)&lt;0.001),'Реестр рисков'!$B$20&amp;" ","")&amp;IF(AND(ABS('Реестр рисков'!$G$21-1)&lt;0.001,ABS('Реестр рисков'!$H$21-1)&lt;0.001),'Реестр рисков'!$B$21&amp;" ","")&amp;IF(AND(ABS('Реестр рисков'!$G$22-1)&lt;0.001,ABS('Реестр рисков'!$H$22-1)&lt;0.001),'Реестр рисков'!$B$22&amp;" ","")&amp;IF(AND(ABS('Реестр рисков'!$G$23-1)&lt;0.001,ABS('Реестр рисков'!$H$23-1)&lt;0.001),'Реестр рисков'!$B$23&amp;" ",""))</f>
        <v/>
      </c>
    </row>
    <row r="6" customFormat="false" ht="30" hidden="false" customHeight="true" outlineLevel="0" collapsed="false">
      <c r="A6" s="24"/>
      <c r="B6" s="25" t="n">
        <v>0.9</v>
      </c>
      <c r="C6" s="26" t="str">
        <f aca="false">TRIM(IF(AND(ABS('Реестр рисков'!$G$5-0.1)&lt;0.001,ABS('Реестр рисков'!$H$5-0.9)&lt;0.001),'Реестр рисков'!$B$5&amp;" ","")&amp;IF(AND(ABS('Реестр рисков'!$G$6-0.1)&lt;0.001,ABS('Реестр рисков'!$H$6-0.9)&lt;0.001),'Реестр рисков'!$B$6&amp;" ","")&amp;IF(AND(ABS('Реестр рисков'!$G$7-0.1)&lt;0.001,ABS('Реестр рисков'!$H$7-0.9)&lt;0.001),'Реестр рисков'!$B$7&amp;" ","")&amp;IF(AND(ABS('Реестр рисков'!$G$8-0.1)&lt;0.001,ABS('Реестр рисков'!$H$8-0.9)&lt;0.001),'Реестр рисков'!$B$8&amp;" ","")&amp;IF(AND(ABS('Реестр рисков'!$G$9-0.1)&lt;0.001,ABS('Реестр рисков'!$H$9-0.9)&lt;0.001),'Реестр рисков'!$B$9&amp;" ","")&amp;IF(AND(ABS('Реестр рисков'!$G$10-0.1)&lt;0.001,ABS('Реестр рисков'!$H$10-0.9)&lt;0.001),'Реестр рисков'!$B$10&amp;" ","")&amp;IF(AND(ABS('Реестр рисков'!$G$11-0.1)&lt;0.001,ABS('Реестр рисков'!$H$11-0.9)&lt;0.001),'Реестр рисков'!$B$11&amp;" ","")&amp;IF(AND(ABS('Реестр рисков'!$G$12-0.1)&lt;0.001,ABS('Реестр рисков'!$H$12-0.9)&lt;0.001),'Реестр рисков'!$B$12&amp;" ","")&amp;IF(AND(ABS('Реестр рисков'!$G$13-0.1)&lt;0.001,ABS('Реестр рисков'!$H$13-0.9)&lt;0.001),'Реестр рисков'!$B$13&amp;" ","")&amp;IF(AND(ABS('Реестр рисков'!$G$14-0.1)&lt;0.001,ABS('Реестр рисков'!$H$14-0.9)&lt;0.001),'Реестр рисков'!$B$14&amp;" ","")&amp;IF(AND(ABS('Реестр рисков'!$G$15-0.1)&lt;0.001,ABS('Реестр рисков'!$H$15-0.9)&lt;0.001),'Реестр рисков'!$B$15&amp;" ","")&amp;IF(AND(ABS('Реестр рисков'!$G$16-0.1)&lt;0.001,ABS('Реестр рисков'!$H$16-0.9)&lt;0.001),'Реестр рисков'!$B$16&amp;" ","")&amp;IF(AND(ABS('Реестр рисков'!$G$17-0.1)&lt;0.001,ABS('Реестр рисков'!$H$17-0.9)&lt;0.001),'Реестр рисков'!$B$17&amp;" ","")&amp;IF(AND(ABS('Реестр рисков'!$G$18-0.1)&lt;0.001,ABS('Реестр рисков'!$H$18-0.9)&lt;0.001),'Реестр рисков'!$B$18&amp;" ","")&amp;IF(AND(ABS('Реестр рисков'!$G$19-0.1)&lt;0.001,ABS('Реестр рисков'!$H$19-0.9)&lt;0.001),'Реестр рисков'!$B$19&amp;" ","")&amp;IF(AND(ABS('Реестр рисков'!$G$20-0.1)&lt;0.001,ABS('Реестр рисков'!$H$20-0.9)&lt;0.001),'Реестр рисков'!$B$20&amp;" ","")&amp;IF(AND(ABS('Реестр рисков'!$G$21-0.1)&lt;0.001,ABS('Реестр рисков'!$H$21-0.9)&lt;0.001),'Реестр рисков'!$B$21&amp;" ","")&amp;IF(AND(ABS('Реестр рисков'!$G$22-0.1)&lt;0.001,ABS('Реестр рисков'!$H$22-0.9)&lt;0.001),'Реестр рисков'!$B$22&amp;" ","")&amp;IF(AND(ABS('Реестр рисков'!$G$23-0.1)&lt;0.001,ABS('Реестр рисков'!$H$23-0.9)&lt;0.001),'Реестр рисков'!$B$23&amp;" ",""))</f>
        <v/>
      </c>
      <c r="D6" s="27" t="str">
        <f aca="false">TRIM(IF(AND(ABS('Реестр рисков'!$G$5-0.2)&lt;0.001,ABS('Реестр рисков'!$H$5-0.9)&lt;0.001),'Реестр рисков'!$B$5&amp;" ","")&amp;IF(AND(ABS('Реестр рисков'!$G$6-0.2)&lt;0.001,ABS('Реестр рисков'!$H$6-0.9)&lt;0.001),'Реестр рисков'!$B$6&amp;" ","")&amp;IF(AND(ABS('Реестр рисков'!$G$7-0.2)&lt;0.001,ABS('Реестр рисков'!$H$7-0.9)&lt;0.001),'Реестр рисков'!$B$7&amp;" ","")&amp;IF(AND(ABS('Реестр рисков'!$G$8-0.2)&lt;0.001,ABS('Реестр рисков'!$H$8-0.9)&lt;0.001),'Реестр рисков'!$B$8&amp;" ","")&amp;IF(AND(ABS('Реестр рисков'!$G$9-0.2)&lt;0.001,ABS('Реестр рисков'!$H$9-0.9)&lt;0.001),'Реестр рисков'!$B$9&amp;" ","")&amp;IF(AND(ABS('Реестр рисков'!$G$10-0.2)&lt;0.001,ABS('Реестр рисков'!$H$10-0.9)&lt;0.001),'Реестр рисков'!$B$10&amp;" ","")&amp;IF(AND(ABS('Реестр рисков'!$G$11-0.2)&lt;0.001,ABS('Реестр рисков'!$H$11-0.9)&lt;0.001),'Реестр рисков'!$B$11&amp;" ","")&amp;IF(AND(ABS('Реестр рисков'!$G$12-0.2)&lt;0.001,ABS('Реестр рисков'!$H$12-0.9)&lt;0.001),'Реестр рисков'!$B$12&amp;" ","")&amp;IF(AND(ABS('Реестр рисков'!$G$13-0.2)&lt;0.001,ABS('Реестр рисков'!$H$13-0.9)&lt;0.001),'Реестр рисков'!$B$13&amp;" ","")&amp;IF(AND(ABS('Реестр рисков'!$G$14-0.2)&lt;0.001,ABS('Реестр рисков'!$H$14-0.9)&lt;0.001),'Реестр рисков'!$B$14&amp;" ","")&amp;IF(AND(ABS('Реестр рисков'!$G$15-0.2)&lt;0.001,ABS('Реестр рисков'!$H$15-0.9)&lt;0.001),'Реестр рисков'!$B$15&amp;" ","")&amp;IF(AND(ABS('Реестр рисков'!$G$16-0.2)&lt;0.001,ABS('Реестр рисков'!$H$16-0.9)&lt;0.001),'Реестр рисков'!$B$16&amp;" ","")&amp;IF(AND(ABS('Реестр рисков'!$G$17-0.2)&lt;0.001,ABS('Реестр рисков'!$H$17-0.9)&lt;0.001),'Реестр рисков'!$B$17&amp;" ","")&amp;IF(AND(ABS('Реестр рисков'!$G$18-0.2)&lt;0.001,ABS('Реестр рисков'!$H$18-0.9)&lt;0.001),'Реестр рисков'!$B$18&amp;" ","")&amp;IF(AND(ABS('Реестр рисков'!$G$19-0.2)&lt;0.001,ABS('Реестр рисков'!$H$19-0.9)&lt;0.001),'Реестр рисков'!$B$19&amp;" ","")&amp;IF(AND(ABS('Реестр рисков'!$G$20-0.2)&lt;0.001,ABS('Реестр рисков'!$H$20-0.9)&lt;0.001),'Реестр рисков'!$B$20&amp;" ","")&amp;IF(AND(ABS('Реестр рисков'!$G$21-0.2)&lt;0.001,ABS('Реестр рисков'!$H$21-0.9)&lt;0.001),'Реестр рисков'!$B$21&amp;" ","")&amp;IF(AND(ABS('Реестр рисков'!$G$22-0.2)&lt;0.001,ABS('Реестр рисков'!$H$22-0.9)&lt;0.001),'Реестр рисков'!$B$22&amp;" ","")&amp;IF(AND(ABS('Реестр рисков'!$G$23-0.2)&lt;0.001,ABS('Реестр рисков'!$H$23-0.9)&lt;0.001),'Реестр рисков'!$B$23&amp;" ",""))</f>
        <v/>
      </c>
      <c r="E6" s="27" t="str">
        <f aca="false">TRIM(IF(AND(ABS('Реестр рисков'!$G$5-0.3)&lt;0.001,ABS('Реестр рисков'!$H$5-0.9)&lt;0.001),'Реестр рисков'!$B$5&amp;" ","")&amp;IF(AND(ABS('Реестр рисков'!$G$6-0.3)&lt;0.001,ABS('Реестр рисков'!$H$6-0.9)&lt;0.001),'Реестр рисков'!$B$6&amp;" ","")&amp;IF(AND(ABS('Реестр рисков'!$G$7-0.3)&lt;0.001,ABS('Реестр рисков'!$H$7-0.9)&lt;0.001),'Реестр рисков'!$B$7&amp;" ","")&amp;IF(AND(ABS('Реестр рисков'!$G$8-0.3)&lt;0.001,ABS('Реестр рисков'!$H$8-0.9)&lt;0.001),'Реестр рисков'!$B$8&amp;" ","")&amp;IF(AND(ABS('Реестр рисков'!$G$9-0.3)&lt;0.001,ABS('Реестр рисков'!$H$9-0.9)&lt;0.001),'Реестр рисков'!$B$9&amp;" ","")&amp;IF(AND(ABS('Реестр рисков'!$G$10-0.3)&lt;0.001,ABS('Реестр рисков'!$H$10-0.9)&lt;0.001),'Реестр рисков'!$B$10&amp;" ","")&amp;IF(AND(ABS('Реестр рисков'!$G$11-0.3)&lt;0.001,ABS('Реестр рисков'!$H$11-0.9)&lt;0.001),'Реестр рисков'!$B$11&amp;" ","")&amp;IF(AND(ABS('Реестр рисков'!$G$12-0.3)&lt;0.001,ABS('Реестр рисков'!$H$12-0.9)&lt;0.001),'Реестр рисков'!$B$12&amp;" ","")&amp;IF(AND(ABS('Реестр рисков'!$G$13-0.3)&lt;0.001,ABS('Реестр рисков'!$H$13-0.9)&lt;0.001),'Реестр рисков'!$B$13&amp;" ","")&amp;IF(AND(ABS('Реестр рисков'!$G$14-0.3)&lt;0.001,ABS('Реестр рисков'!$H$14-0.9)&lt;0.001),'Реестр рисков'!$B$14&amp;" ","")&amp;IF(AND(ABS('Реестр рисков'!$G$15-0.3)&lt;0.001,ABS('Реестр рисков'!$H$15-0.9)&lt;0.001),'Реестр рисков'!$B$15&amp;" ","")&amp;IF(AND(ABS('Реестр рисков'!$G$16-0.3)&lt;0.001,ABS('Реестр рисков'!$H$16-0.9)&lt;0.001),'Реестр рисков'!$B$16&amp;" ","")&amp;IF(AND(ABS('Реестр рисков'!$G$17-0.3)&lt;0.001,ABS('Реестр рисков'!$H$17-0.9)&lt;0.001),'Реестр рисков'!$B$17&amp;" ","")&amp;IF(AND(ABS('Реестр рисков'!$G$18-0.3)&lt;0.001,ABS('Реестр рисков'!$H$18-0.9)&lt;0.001),'Реестр рисков'!$B$18&amp;" ","")&amp;IF(AND(ABS('Реестр рисков'!$G$19-0.3)&lt;0.001,ABS('Реестр рисков'!$H$19-0.9)&lt;0.001),'Реестр рисков'!$B$19&amp;" ","")&amp;IF(AND(ABS('Реестр рисков'!$G$20-0.3)&lt;0.001,ABS('Реестр рисков'!$H$20-0.9)&lt;0.001),'Реестр рисков'!$B$20&amp;" ","")&amp;IF(AND(ABS('Реестр рисков'!$G$21-0.3)&lt;0.001,ABS('Реестр рисков'!$H$21-0.9)&lt;0.001),'Реестр рисков'!$B$21&amp;" ","")&amp;IF(AND(ABS('Реестр рисков'!$G$22-0.3)&lt;0.001,ABS('Реестр рисков'!$H$22-0.9)&lt;0.001),'Реестр рисков'!$B$22&amp;" ","")&amp;IF(AND(ABS('Реестр рисков'!$G$23-0.3)&lt;0.001,ABS('Реестр рисков'!$H$23-0.9)&lt;0.001),'Реестр рисков'!$B$23&amp;" ",""))</f>
        <v>R13</v>
      </c>
      <c r="F6" s="27" t="str">
        <f aca="false">TRIM(IF(AND(ABS('Реестр рисков'!$G$5-0.4)&lt;0.001,ABS('Реестр рисков'!$H$5-0.9)&lt;0.001),'Реестр рисков'!$B$5&amp;" ","")&amp;IF(AND(ABS('Реестр рисков'!$G$6-0.4)&lt;0.001,ABS('Реестр рисков'!$H$6-0.9)&lt;0.001),'Реестр рисков'!$B$6&amp;" ","")&amp;IF(AND(ABS('Реестр рисков'!$G$7-0.4)&lt;0.001,ABS('Реестр рисков'!$H$7-0.9)&lt;0.001),'Реестр рисков'!$B$7&amp;" ","")&amp;IF(AND(ABS('Реестр рисков'!$G$8-0.4)&lt;0.001,ABS('Реестр рисков'!$H$8-0.9)&lt;0.001),'Реестр рисков'!$B$8&amp;" ","")&amp;IF(AND(ABS('Реестр рисков'!$G$9-0.4)&lt;0.001,ABS('Реестр рисков'!$H$9-0.9)&lt;0.001),'Реестр рисков'!$B$9&amp;" ","")&amp;IF(AND(ABS('Реестр рисков'!$G$10-0.4)&lt;0.001,ABS('Реестр рисков'!$H$10-0.9)&lt;0.001),'Реестр рисков'!$B$10&amp;" ","")&amp;IF(AND(ABS('Реестр рисков'!$G$11-0.4)&lt;0.001,ABS('Реестр рисков'!$H$11-0.9)&lt;0.001),'Реестр рисков'!$B$11&amp;" ","")&amp;IF(AND(ABS('Реестр рисков'!$G$12-0.4)&lt;0.001,ABS('Реестр рисков'!$H$12-0.9)&lt;0.001),'Реестр рисков'!$B$12&amp;" ","")&amp;IF(AND(ABS('Реестр рисков'!$G$13-0.4)&lt;0.001,ABS('Реестр рисков'!$H$13-0.9)&lt;0.001),'Реестр рисков'!$B$13&amp;" ","")&amp;IF(AND(ABS('Реестр рисков'!$G$14-0.4)&lt;0.001,ABS('Реестр рисков'!$H$14-0.9)&lt;0.001),'Реестр рисков'!$B$14&amp;" ","")&amp;IF(AND(ABS('Реестр рисков'!$G$15-0.4)&lt;0.001,ABS('Реестр рисков'!$H$15-0.9)&lt;0.001),'Реестр рисков'!$B$15&amp;" ","")&amp;IF(AND(ABS('Реестр рисков'!$G$16-0.4)&lt;0.001,ABS('Реестр рисков'!$H$16-0.9)&lt;0.001),'Реестр рисков'!$B$16&amp;" ","")&amp;IF(AND(ABS('Реестр рисков'!$G$17-0.4)&lt;0.001,ABS('Реестр рисков'!$H$17-0.9)&lt;0.001),'Реестр рисков'!$B$17&amp;" ","")&amp;IF(AND(ABS('Реестр рисков'!$G$18-0.4)&lt;0.001,ABS('Реестр рисков'!$H$18-0.9)&lt;0.001),'Реестр рисков'!$B$18&amp;" ","")&amp;IF(AND(ABS('Реестр рисков'!$G$19-0.4)&lt;0.001,ABS('Реестр рисков'!$H$19-0.9)&lt;0.001),'Реестр рисков'!$B$19&amp;" ","")&amp;IF(AND(ABS('Реестр рисков'!$G$20-0.4)&lt;0.001,ABS('Реестр рисков'!$H$20-0.9)&lt;0.001),'Реестр рисков'!$B$20&amp;" ","")&amp;IF(AND(ABS('Реестр рисков'!$G$21-0.4)&lt;0.001,ABS('Реестр рисков'!$H$21-0.9)&lt;0.001),'Реестр рисков'!$B$21&amp;" ","")&amp;IF(AND(ABS('Реестр рисков'!$G$22-0.4)&lt;0.001,ABS('Реестр рисков'!$H$22-0.9)&lt;0.001),'Реестр рисков'!$B$22&amp;" ","")&amp;IF(AND(ABS('Реестр рисков'!$G$23-0.4)&lt;0.001,ABS('Реестр рисков'!$H$23-0.9)&lt;0.001),'Реестр рисков'!$B$23&amp;" ",""))</f>
        <v/>
      </c>
      <c r="G6" s="27" t="str">
        <f aca="false">TRIM(IF(AND(ABS('Реестр рисков'!$G$5-0.5)&lt;0.001,ABS('Реестр рисков'!$H$5-0.9)&lt;0.001),'Реестр рисков'!$B$5&amp;" ","")&amp;IF(AND(ABS('Реестр рисков'!$G$6-0.5)&lt;0.001,ABS('Реестр рисков'!$H$6-0.9)&lt;0.001),'Реестр рисков'!$B$6&amp;" ","")&amp;IF(AND(ABS('Реестр рисков'!$G$7-0.5)&lt;0.001,ABS('Реестр рисков'!$H$7-0.9)&lt;0.001),'Реестр рисков'!$B$7&amp;" ","")&amp;IF(AND(ABS('Реестр рисков'!$G$8-0.5)&lt;0.001,ABS('Реестр рисков'!$H$8-0.9)&lt;0.001),'Реестр рисков'!$B$8&amp;" ","")&amp;IF(AND(ABS('Реестр рисков'!$G$9-0.5)&lt;0.001,ABS('Реестр рисков'!$H$9-0.9)&lt;0.001),'Реестр рисков'!$B$9&amp;" ","")&amp;IF(AND(ABS('Реестр рисков'!$G$10-0.5)&lt;0.001,ABS('Реестр рисков'!$H$10-0.9)&lt;0.001),'Реестр рисков'!$B$10&amp;" ","")&amp;IF(AND(ABS('Реестр рисков'!$G$11-0.5)&lt;0.001,ABS('Реестр рисков'!$H$11-0.9)&lt;0.001),'Реестр рисков'!$B$11&amp;" ","")&amp;IF(AND(ABS('Реестр рисков'!$G$12-0.5)&lt;0.001,ABS('Реестр рисков'!$H$12-0.9)&lt;0.001),'Реестр рисков'!$B$12&amp;" ","")&amp;IF(AND(ABS('Реестр рисков'!$G$13-0.5)&lt;0.001,ABS('Реестр рисков'!$H$13-0.9)&lt;0.001),'Реестр рисков'!$B$13&amp;" ","")&amp;IF(AND(ABS('Реестр рисков'!$G$14-0.5)&lt;0.001,ABS('Реестр рисков'!$H$14-0.9)&lt;0.001),'Реестр рисков'!$B$14&amp;" ","")&amp;IF(AND(ABS('Реестр рисков'!$G$15-0.5)&lt;0.001,ABS('Реестр рисков'!$H$15-0.9)&lt;0.001),'Реестр рисков'!$B$15&amp;" ","")&amp;IF(AND(ABS('Реестр рисков'!$G$16-0.5)&lt;0.001,ABS('Реестр рисков'!$H$16-0.9)&lt;0.001),'Реестр рисков'!$B$16&amp;" ","")&amp;IF(AND(ABS('Реестр рисков'!$G$17-0.5)&lt;0.001,ABS('Реестр рисков'!$H$17-0.9)&lt;0.001),'Реестр рисков'!$B$17&amp;" ","")&amp;IF(AND(ABS('Реестр рисков'!$G$18-0.5)&lt;0.001,ABS('Реестр рисков'!$H$18-0.9)&lt;0.001),'Реестр рисков'!$B$18&amp;" ","")&amp;IF(AND(ABS('Реестр рисков'!$G$19-0.5)&lt;0.001,ABS('Реестр рисков'!$H$19-0.9)&lt;0.001),'Реестр рисков'!$B$19&amp;" ","")&amp;IF(AND(ABS('Реестр рисков'!$G$20-0.5)&lt;0.001,ABS('Реестр рисков'!$H$20-0.9)&lt;0.001),'Реестр рисков'!$B$20&amp;" ","")&amp;IF(AND(ABS('Реестр рисков'!$G$21-0.5)&lt;0.001,ABS('Реестр рисков'!$H$21-0.9)&lt;0.001),'Реестр рисков'!$B$21&amp;" ","")&amp;IF(AND(ABS('Реестр рисков'!$G$22-0.5)&lt;0.001,ABS('Реестр рисков'!$H$22-0.9)&lt;0.001),'Реестр рисков'!$B$22&amp;" ","")&amp;IF(AND(ABS('Реестр рисков'!$G$23-0.5)&lt;0.001,ABS('Реестр рисков'!$H$23-0.9)&lt;0.001),'Реестр рисков'!$B$23&amp;" ",""))</f>
        <v/>
      </c>
      <c r="H6" s="28" t="str">
        <f aca="false">TRIM(IF(AND(ABS('Реестр рисков'!$G$5-0.6)&lt;0.001,ABS('Реестр рисков'!$H$5-0.9)&lt;0.001),'Реестр рисков'!$B$5&amp;" ","")&amp;IF(AND(ABS('Реестр рисков'!$G$6-0.6)&lt;0.001,ABS('Реестр рисков'!$H$6-0.9)&lt;0.001),'Реестр рисков'!$B$6&amp;" ","")&amp;IF(AND(ABS('Реестр рисков'!$G$7-0.6)&lt;0.001,ABS('Реестр рисков'!$H$7-0.9)&lt;0.001),'Реестр рисков'!$B$7&amp;" ","")&amp;IF(AND(ABS('Реестр рисков'!$G$8-0.6)&lt;0.001,ABS('Реестр рисков'!$H$8-0.9)&lt;0.001),'Реестр рисков'!$B$8&amp;" ","")&amp;IF(AND(ABS('Реестр рисков'!$G$9-0.6)&lt;0.001,ABS('Реестр рисков'!$H$9-0.9)&lt;0.001),'Реестр рисков'!$B$9&amp;" ","")&amp;IF(AND(ABS('Реестр рисков'!$G$10-0.6)&lt;0.001,ABS('Реестр рисков'!$H$10-0.9)&lt;0.001),'Реестр рисков'!$B$10&amp;" ","")&amp;IF(AND(ABS('Реестр рисков'!$G$11-0.6)&lt;0.001,ABS('Реестр рисков'!$H$11-0.9)&lt;0.001),'Реестр рисков'!$B$11&amp;" ","")&amp;IF(AND(ABS('Реестр рисков'!$G$12-0.6)&lt;0.001,ABS('Реестр рисков'!$H$12-0.9)&lt;0.001),'Реестр рисков'!$B$12&amp;" ","")&amp;IF(AND(ABS('Реестр рисков'!$G$13-0.6)&lt;0.001,ABS('Реестр рисков'!$H$13-0.9)&lt;0.001),'Реестр рисков'!$B$13&amp;" ","")&amp;IF(AND(ABS('Реестр рисков'!$G$14-0.6)&lt;0.001,ABS('Реестр рисков'!$H$14-0.9)&lt;0.001),'Реестр рисков'!$B$14&amp;" ","")&amp;IF(AND(ABS('Реестр рисков'!$G$15-0.6)&lt;0.001,ABS('Реестр рисков'!$H$15-0.9)&lt;0.001),'Реестр рисков'!$B$15&amp;" ","")&amp;IF(AND(ABS('Реестр рисков'!$G$16-0.6)&lt;0.001,ABS('Реестр рисков'!$H$16-0.9)&lt;0.001),'Реестр рисков'!$B$16&amp;" ","")&amp;IF(AND(ABS('Реестр рисков'!$G$17-0.6)&lt;0.001,ABS('Реестр рисков'!$H$17-0.9)&lt;0.001),'Реестр рисков'!$B$17&amp;" ","")&amp;IF(AND(ABS('Реестр рисков'!$G$18-0.6)&lt;0.001,ABS('Реестр рисков'!$H$18-0.9)&lt;0.001),'Реестр рисков'!$B$18&amp;" ","")&amp;IF(AND(ABS('Реестр рисков'!$G$19-0.6)&lt;0.001,ABS('Реестр рисков'!$H$19-0.9)&lt;0.001),'Реестр рисков'!$B$19&amp;" ","")&amp;IF(AND(ABS('Реестр рисков'!$G$20-0.6)&lt;0.001,ABS('Реестр рисков'!$H$20-0.9)&lt;0.001),'Реестр рисков'!$B$20&amp;" ","")&amp;IF(AND(ABS('Реестр рисков'!$G$21-0.6)&lt;0.001,ABS('Реестр рисков'!$H$21-0.9)&lt;0.001),'Реестр рисков'!$B$21&amp;" ","")&amp;IF(AND(ABS('Реестр рисков'!$G$22-0.6)&lt;0.001,ABS('Реестр рисков'!$H$22-0.9)&lt;0.001),'Реестр рисков'!$B$22&amp;" ","")&amp;IF(AND(ABS('Реестр рисков'!$G$23-0.6)&lt;0.001,ABS('Реестр рисков'!$H$23-0.9)&lt;0.001),'Реестр рисков'!$B$23&amp;" ",""))</f>
        <v>R2</v>
      </c>
      <c r="I6" s="28" t="str">
        <f aca="false">TRIM(IF(AND(ABS('Реестр рисков'!$G$5-0.7)&lt;0.001,ABS('Реестр рисков'!$H$5-0.9)&lt;0.001),'Реестр рисков'!$B$5&amp;" ","")&amp;IF(AND(ABS('Реестр рисков'!$G$6-0.7)&lt;0.001,ABS('Реестр рисков'!$H$6-0.9)&lt;0.001),'Реестр рисков'!$B$6&amp;" ","")&amp;IF(AND(ABS('Реестр рисков'!$G$7-0.7)&lt;0.001,ABS('Реестр рисков'!$H$7-0.9)&lt;0.001),'Реестр рисков'!$B$7&amp;" ","")&amp;IF(AND(ABS('Реестр рисков'!$G$8-0.7)&lt;0.001,ABS('Реестр рисков'!$H$8-0.9)&lt;0.001),'Реестр рисков'!$B$8&amp;" ","")&amp;IF(AND(ABS('Реестр рисков'!$G$9-0.7)&lt;0.001,ABS('Реестр рисков'!$H$9-0.9)&lt;0.001),'Реестр рисков'!$B$9&amp;" ","")&amp;IF(AND(ABS('Реестр рисков'!$G$10-0.7)&lt;0.001,ABS('Реестр рисков'!$H$10-0.9)&lt;0.001),'Реестр рисков'!$B$10&amp;" ","")&amp;IF(AND(ABS('Реестр рисков'!$G$11-0.7)&lt;0.001,ABS('Реестр рисков'!$H$11-0.9)&lt;0.001),'Реестр рисков'!$B$11&amp;" ","")&amp;IF(AND(ABS('Реестр рисков'!$G$12-0.7)&lt;0.001,ABS('Реестр рисков'!$H$12-0.9)&lt;0.001),'Реестр рисков'!$B$12&amp;" ","")&amp;IF(AND(ABS('Реестр рисков'!$G$13-0.7)&lt;0.001,ABS('Реестр рисков'!$H$13-0.9)&lt;0.001),'Реестр рисков'!$B$13&amp;" ","")&amp;IF(AND(ABS('Реестр рисков'!$G$14-0.7)&lt;0.001,ABS('Реестр рисков'!$H$14-0.9)&lt;0.001),'Реестр рисков'!$B$14&amp;" ","")&amp;IF(AND(ABS('Реестр рисков'!$G$15-0.7)&lt;0.001,ABS('Реестр рисков'!$H$15-0.9)&lt;0.001),'Реестр рисков'!$B$15&amp;" ","")&amp;IF(AND(ABS('Реестр рисков'!$G$16-0.7)&lt;0.001,ABS('Реестр рисков'!$H$16-0.9)&lt;0.001),'Реестр рисков'!$B$16&amp;" ","")&amp;IF(AND(ABS('Реестр рисков'!$G$17-0.7)&lt;0.001,ABS('Реестр рисков'!$H$17-0.9)&lt;0.001),'Реестр рисков'!$B$17&amp;" ","")&amp;IF(AND(ABS('Реестр рисков'!$G$18-0.7)&lt;0.001,ABS('Реестр рисков'!$H$18-0.9)&lt;0.001),'Реестр рисков'!$B$18&amp;" ","")&amp;IF(AND(ABS('Реестр рисков'!$G$19-0.7)&lt;0.001,ABS('Реестр рисков'!$H$19-0.9)&lt;0.001),'Реестр рисков'!$B$19&amp;" ","")&amp;IF(AND(ABS('Реестр рисков'!$G$20-0.7)&lt;0.001,ABS('Реестр рисков'!$H$20-0.9)&lt;0.001),'Реестр рисков'!$B$20&amp;" ","")&amp;IF(AND(ABS('Реестр рисков'!$G$21-0.7)&lt;0.001,ABS('Реестр рисков'!$H$21-0.9)&lt;0.001),'Реестр рисков'!$B$21&amp;" ","")&amp;IF(AND(ABS('Реестр рисков'!$G$22-0.7)&lt;0.001,ABS('Реестр рисков'!$H$22-0.9)&lt;0.001),'Реестр рисков'!$B$22&amp;" ","")&amp;IF(AND(ABS('Реестр рисков'!$G$23-0.7)&lt;0.001,ABS('Реестр рисков'!$H$23-0.9)&lt;0.001),'Реестр рисков'!$B$23&amp;" ",""))</f>
        <v>R3</v>
      </c>
      <c r="J6" s="28" t="str">
        <f aca="false">TRIM(IF(AND(ABS('Реестр рисков'!$G$5-0.8)&lt;0.001,ABS('Реестр рисков'!$H$5-0.9)&lt;0.001),'Реестр рисков'!$B$5&amp;" ","")&amp;IF(AND(ABS('Реестр рисков'!$G$6-0.8)&lt;0.001,ABS('Реестр рисков'!$H$6-0.9)&lt;0.001),'Реестр рисков'!$B$6&amp;" ","")&amp;IF(AND(ABS('Реестр рисков'!$G$7-0.8)&lt;0.001,ABS('Реестр рисков'!$H$7-0.9)&lt;0.001),'Реестр рисков'!$B$7&amp;" ","")&amp;IF(AND(ABS('Реестр рисков'!$G$8-0.8)&lt;0.001,ABS('Реестр рисков'!$H$8-0.9)&lt;0.001),'Реестр рисков'!$B$8&amp;" ","")&amp;IF(AND(ABS('Реестр рисков'!$G$9-0.8)&lt;0.001,ABS('Реестр рисков'!$H$9-0.9)&lt;0.001),'Реестр рисков'!$B$9&amp;" ","")&amp;IF(AND(ABS('Реестр рисков'!$G$10-0.8)&lt;0.001,ABS('Реестр рисков'!$H$10-0.9)&lt;0.001),'Реестр рисков'!$B$10&amp;" ","")&amp;IF(AND(ABS('Реестр рисков'!$G$11-0.8)&lt;0.001,ABS('Реестр рисков'!$H$11-0.9)&lt;0.001),'Реестр рисков'!$B$11&amp;" ","")&amp;IF(AND(ABS('Реестр рисков'!$G$12-0.8)&lt;0.001,ABS('Реестр рисков'!$H$12-0.9)&lt;0.001),'Реестр рисков'!$B$12&amp;" ","")&amp;IF(AND(ABS('Реестр рисков'!$G$13-0.8)&lt;0.001,ABS('Реестр рисков'!$H$13-0.9)&lt;0.001),'Реестр рисков'!$B$13&amp;" ","")&amp;IF(AND(ABS('Реестр рисков'!$G$14-0.8)&lt;0.001,ABS('Реестр рисков'!$H$14-0.9)&lt;0.001),'Реестр рисков'!$B$14&amp;" ","")&amp;IF(AND(ABS('Реестр рисков'!$G$15-0.8)&lt;0.001,ABS('Реестр рисков'!$H$15-0.9)&lt;0.001),'Реестр рисков'!$B$15&amp;" ","")&amp;IF(AND(ABS('Реестр рисков'!$G$16-0.8)&lt;0.001,ABS('Реестр рисков'!$H$16-0.9)&lt;0.001),'Реестр рисков'!$B$16&amp;" ","")&amp;IF(AND(ABS('Реестр рисков'!$G$17-0.8)&lt;0.001,ABS('Реестр рисков'!$H$17-0.9)&lt;0.001),'Реестр рисков'!$B$17&amp;" ","")&amp;IF(AND(ABS('Реестр рисков'!$G$18-0.8)&lt;0.001,ABS('Реестр рисков'!$H$18-0.9)&lt;0.001),'Реестр рисков'!$B$18&amp;" ","")&amp;IF(AND(ABS('Реестр рисков'!$G$19-0.8)&lt;0.001,ABS('Реестр рисков'!$H$19-0.9)&lt;0.001),'Реестр рисков'!$B$19&amp;" ","")&amp;IF(AND(ABS('Реестр рисков'!$G$20-0.8)&lt;0.001,ABS('Реестр рисков'!$H$20-0.9)&lt;0.001),'Реестр рисков'!$B$20&amp;" ","")&amp;IF(AND(ABS('Реестр рисков'!$G$21-0.8)&lt;0.001,ABS('Реестр рисков'!$H$21-0.9)&lt;0.001),'Реестр рисков'!$B$21&amp;" ","")&amp;IF(AND(ABS('Реестр рисков'!$G$22-0.8)&lt;0.001,ABS('Реестр рисков'!$H$22-0.9)&lt;0.001),'Реестр рисков'!$B$22&amp;" ","")&amp;IF(AND(ABS('Реестр рисков'!$G$23-0.8)&lt;0.001,ABS('Реестр рисков'!$H$23-0.9)&lt;0.001),'Реестр рисков'!$B$23&amp;" ",""))</f>
        <v/>
      </c>
      <c r="K6" s="28" t="str">
        <f aca="false">TRIM(IF(AND(ABS('Реестр рисков'!$G$5-0.9)&lt;0.001,ABS('Реестр рисков'!$H$5-0.9)&lt;0.001),'Реестр рисков'!$B$5&amp;" ","")&amp;IF(AND(ABS('Реестр рисков'!$G$6-0.9)&lt;0.001,ABS('Реестр рисков'!$H$6-0.9)&lt;0.001),'Реестр рисков'!$B$6&amp;" ","")&amp;IF(AND(ABS('Реестр рисков'!$G$7-0.9)&lt;0.001,ABS('Реестр рисков'!$H$7-0.9)&lt;0.001),'Реестр рисков'!$B$7&amp;" ","")&amp;IF(AND(ABS('Реестр рисков'!$G$8-0.9)&lt;0.001,ABS('Реестр рисков'!$H$8-0.9)&lt;0.001),'Реестр рисков'!$B$8&amp;" ","")&amp;IF(AND(ABS('Реестр рисков'!$G$9-0.9)&lt;0.001,ABS('Реестр рисков'!$H$9-0.9)&lt;0.001),'Реестр рисков'!$B$9&amp;" ","")&amp;IF(AND(ABS('Реестр рисков'!$G$10-0.9)&lt;0.001,ABS('Реестр рисков'!$H$10-0.9)&lt;0.001),'Реестр рисков'!$B$10&amp;" ","")&amp;IF(AND(ABS('Реестр рисков'!$G$11-0.9)&lt;0.001,ABS('Реестр рисков'!$H$11-0.9)&lt;0.001),'Реестр рисков'!$B$11&amp;" ","")&amp;IF(AND(ABS('Реестр рисков'!$G$12-0.9)&lt;0.001,ABS('Реестр рисков'!$H$12-0.9)&lt;0.001),'Реестр рисков'!$B$12&amp;" ","")&amp;IF(AND(ABS('Реестр рисков'!$G$13-0.9)&lt;0.001,ABS('Реестр рисков'!$H$13-0.9)&lt;0.001),'Реестр рисков'!$B$13&amp;" ","")&amp;IF(AND(ABS('Реестр рисков'!$G$14-0.9)&lt;0.001,ABS('Реестр рисков'!$H$14-0.9)&lt;0.001),'Реестр рисков'!$B$14&amp;" ","")&amp;IF(AND(ABS('Реестр рисков'!$G$15-0.9)&lt;0.001,ABS('Реестр рисков'!$H$15-0.9)&lt;0.001),'Реестр рисков'!$B$15&amp;" ","")&amp;IF(AND(ABS('Реестр рисков'!$G$16-0.9)&lt;0.001,ABS('Реестр рисков'!$H$16-0.9)&lt;0.001),'Реестр рисков'!$B$16&amp;" ","")&amp;IF(AND(ABS('Реестр рисков'!$G$17-0.9)&lt;0.001,ABS('Реестр рисков'!$H$17-0.9)&lt;0.001),'Реестр рисков'!$B$17&amp;" ","")&amp;IF(AND(ABS('Реестр рисков'!$G$18-0.9)&lt;0.001,ABS('Реестр рисков'!$H$18-0.9)&lt;0.001),'Реестр рисков'!$B$18&amp;" ","")&amp;IF(AND(ABS('Реестр рисков'!$G$19-0.9)&lt;0.001,ABS('Реестр рисков'!$H$19-0.9)&lt;0.001),'Реестр рисков'!$B$19&amp;" ","")&amp;IF(AND(ABS('Реестр рисков'!$G$20-0.9)&lt;0.001,ABS('Реестр рисков'!$H$20-0.9)&lt;0.001),'Реестр рисков'!$B$20&amp;" ","")&amp;IF(AND(ABS('Реестр рисков'!$G$21-0.9)&lt;0.001,ABS('Реестр рисков'!$H$21-0.9)&lt;0.001),'Реестр рисков'!$B$21&amp;" ","")&amp;IF(AND(ABS('Реестр рисков'!$G$22-0.9)&lt;0.001,ABS('Реестр рисков'!$H$22-0.9)&lt;0.001),'Реестр рисков'!$B$22&amp;" ","")&amp;IF(AND(ABS('Реестр рисков'!$G$23-0.9)&lt;0.001,ABS('Реестр рисков'!$H$23-0.9)&lt;0.001),'Реестр рисков'!$B$23&amp;" ",""))</f>
        <v/>
      </c>
      <c r="L6" s="28" t="str">
        <f aca="false">TRIM(IF(AND(ABS('Реестр рисков'!$G$5-1)&lt;0.001,ABS('Реестр рисков'!$H$5-0.9)&lt;0.001),'Реестр рисков'!$B$5&amp;" ","")&amp;IF(AND(ABS('Реестр рисков'!$G$6-1)&lt;0.001,ABS('Реестр рисков'!$H$6-0.9)&lt;0.001),'Реестр рисков'!$B$6&amp;" ","")&amp;IF(AND(ABS('Реестр рисков'!$G$7-1)&lt;0.001,ABS('Реестр рисков'!$H$7-0.9)&lt;0.001),'Реестр рисков'!$B$7&amp;" ","")&amp;IF(AND(ABS('Реестр рисков'!$G$8-1)&lt;0.001,ABS('Реестр рисков'!$H$8-0.9)&lt;0.001),'Реестр рисков'!$B$8&amp;" ","")&amp;IF(AND(ABS('Реестр рисков'!$G$9-1)&lt;0.001,ABS('Реестр рисков'!$H$9-0.9)&lt;0.001),'Реестр рисков'!$B$9&amp;" ","")&amp;IF(AND(ABS('Реестр рисков'!$G$10-1)&lt;0.001,ABS('Реестр рисков'!$H$10-0.9)&lt;0.001),'Реестр рисков'!$B$10&amp;" ","")&amp;IF(AND(ABS('Реестр рисков'!$G$11-1)&lt;0.001,ABS('Реестр рисков'!$H$11-0.9)&lt;0.001),'Реестр рисков'!$B$11&amp;" ","")&amp;IF(AND(ABS('Реестр рисков'!$G$12-1)&lt;0.001,ABS('Реестр рисков'!$H$12-0.9)&lt;0.001),'Реестр рисков'!$B$12&amp;" ","")&amp;IF(AND(ABS('Реестр рисков'!$G$13-1)&lt;0.001,ABS('Реестр рисков'!$H$13-0.9)&lt;0.001),'Реестр рисков'!$B$13&amp;" ","")&amp;IF(AND(ABS('Реестр рисков'!$G$14-1)&lt;0.001,ABS('Реестр рисков'!$H$14-0.9)&lt;0.001),'Реестр рисков'!$B$14&amp;" ","")&amp;IF(AND(ABS('Реестр рисков'!$G$15-1)&lt;0.001,ABS('Реестр рисков'!$H$15-0.9)&lt;0.001),'Реестр рисков'!$B$15&amp;" ","")&amp;IF(AND(ABS('Реестр рисков'!$G$16-1)&lt;0.001,ABS('Реестр рисков'!$H$16-0.9)&lt;0.001),'Реестр рисков'!$B$16&amp;" ","")&amp;IF(AND(ABS('Реестр рисков'!$G$17-1)&lt;0.001,ABS('Реестр рисков'!$H$17-0.9)&lt;0.001),'Реестр рисков'!$B$17&amp;" ","")&amp;IF(AND(ABS('Реестр рисков'!$G$18-1)&lt;0.001,ABS('Реестр рисков'!$H$18-0.9)&lt;0.001),'Реестр рисков'!$B$18&amp;" ","")&amp;IF(AND(ABS('Реестр рисков'!$G$19-1)&lt;0.001,ABS('Реестр рисков'!$H$19-0.9)&lt;0.001),'Реестр рисков'!$B$19&amp;" ","")&amp;IF(AND(ABS('Реестр рисков'!$G$20-1)&lt;0.001,ABS('Реестр рисков'!$H$20-0.9)&lt;0.001),'Реестр рисков'!$B$20&amp;" ","")&amp;IF(AND(ABS('Реестр рисков'!$G$21-1)&lt;0.001,ABS('Реестр рисков'!$H$21-0.9)&lt;0.001),'Реестр рисков'!$B$21&amp;" ","")&amp;IF(AND(ABS('Реестр рисков'!$G$22-1)&lt;0.001,ABS('Реестр рисков'!$H$22-0.9)&lt;0.001),'Реестр рисков'!$B$22&amp;" ","")&amp;IF(AND(ABS('Реестр рисков'!$G$23-1)&lt;0.001,ABS('Реестр рисков'!$H$23-0.9)&lt;0.001),'Реестр рисков'!$B$23&amp;" ",""))</f>
        <v/>
      </c>
    </row>
    <row r="7" customFormat="false" ht="30" hidden="false" customHeight="true" outlineLevel="0" collapsed="false">
      <c r="A7" s="24"/>
      <c r="B7" s="25" t="n">
        <v>0.8</v>
      </c>
      <c r="C7" s="26" t="str">
        <f aca="false">TRIM(IF(AND(ABS('Реестр рисков'!$G$5-0.1)&lt;0.001,ABS('Реестр рисков'!$H$5-0.8)&lt;0.001),'Реестр рисков'!$B$5&amp;" ","")&amp;IF(AND(ABS('Реестр рисков'!$G$6-0.1)&lt;0.001,ABS('Реестр рисков'!$H$6-0.8)&lt;0.001),'Реестр рисков'!$B$6&amp;" ","")&amp;IF(AND(ABS('Реестр рисков'!$G$7-0.1)&lt;0.001,ABS('Реестр рисков'!$H$7-0.8)&lt;0.001),'Реестр рисков'!$B$7&amp;" ","")&amp;IF(AND(ABS('Реестр рисков'!$G$8-0.1)&lt;0.001,ABS('Реестр рисков'!$H$8-0.8)&lt;0.001),'Реестр рисков'!$B$8&amp;" ","")&amp;IF(AND(ABS('Реестр рисков'!$G$9-0.1)&lt;0.001,ABS('Реестр рисков'!$H$9-0.8)&lt;0.001),'Реестр рисков'!$B$9&amp;" ","")&amp;IF(AND(ABS('Реестр рисков'!$G$10-0.1)&lt;0.001,ABS('Реестр рисков'!$H$10-0.8)&lt;0.001),'Реестр рисков'!$B$10&amp;" ","")&amp;IF(AND(ABS('Реестр рисков'!$G$11-0.1)&lt;0.001,ABS('Реестр рисков'!$H$11-0.8)&lt;0.001),'Реестр рисков'!$B$11&amp;" ","")&amp;IF(AND(ABS('Реестр рисков'!$G$12-0.1)&lt;0.001,ABS('Реестр рисков'!$H$12-0.8)&lt;0.001),'Реестр рисков'!$B$12&amp;" ","")&amp;IF(AND(ABS('Реестр рисков'!$G$13-0.1)&lt;0.001,ABS('Реестр рисков'!$H$13-0.8)&lt;0.001),'Реестр рисков'!$B$13&amp;" ","")&amp;IF(AND(ABS('Реестр рисков'!$G$14-0.1)&lt;0.001,ABS('Реестр рисков'!$H$14-0.8)&lt;0.001),'Реестр рисков'!$B$14&amp;" ","")&amp;IF(AND(ABS('Реестр рисков'!$G$15-0.1)&lt;0.001,ABS('Реестр рисков'!$H$15-0.8)&lt;0.001),'Реестр рисков'!$B$15&amp;" ","")&amp;IF(AND(ABS('Реестр рисков'!$G$16-0.1)&lt;0.001,ABS('Реестр рисков'!$H$16-0.8)&lt;0.001),'Реестр рисков'!$B$16&amp;" ","")&amp;IF(AND(ABS('Реестр рисков'!$G$17-0.1)&lt;0.001,ABS('Реестр рисков'!$H$17-0.8)&lt;0.001),'Реестр рисков'!$B$17&amp;" ","")&amp;IF(AND(ABS('Реестр рисков'!$G$18-0.1)&lt;0.001,ABS('Реестр рисков'!$H$18-0.8)&lt;0.001),'Реестр рисков'!$B$18&amp;" ","")&amp;IF(AND(ABS('Реестр рисков'!$G$19-0.1)&lt;0.001,ABS('Реестр рисков'!$H$19-0.8)&lt;0.001),'Реестр рисков'!$B$19&amp;" ","")&amp;IF(AND(ABS('Реестр рисков'!$G$20-0.1)&lt;0.001,ABS('Реестр рисков'!$H$20-0.8)&lt;0.001),'Реестр рисков'!$B$20&amp;" ","")&amp;IF(AND(ABS('Реестр рисков'!$G$21-0.1)&lt;0.001,ABS('Реестр рисков'!$H$21-0.8)&lt;0.001),'Реестр рисков'!$B$21&amp;" ","")&amp;IF(AND(ABS('Реестр рисков'!$G$22-0.1)&lt;0.001,ABS('Реестр рисков'!$H$22-0.8)&lt;0.001),'Реестр рисков'!$B$22&amp;" ","")&amp;IF(AND(ABS('Реестр рисков'!$G$23-0.1)&lt;0.001,ABS('Реестр рисков'!$H$23-0.8)&lt;0.001),'Реестр рисков'!$B$23&amp;" ",""))</f>
        <v/>
      </c>
      <c r="D7" s="27" t="str">
        <f aca="false">TRIM(IF(AND(ABS('Реестр рисков'!$G$5-0.2)&lt;0.001,ABS('Реестр рисков'!$H$5-0.8)&lt;0.001),'Реестр рисков'!$B$5&amp;" ","")&amp;IF(AND(ABS('Реестр рисков'!$G$6-0.2)&lt;0.001,ABS('Реестр рисков'!$H$6-0.8)&lt;0.001),'Реестр рисков'!$B$6&amp;" ","")&amp;IF(AND(ABS('Реестр рисков'!$G$7-0.2)&lt;0.001,ABS('Реестр рисков'!$H$7-0.8)&lt;0.001),'Реестр рисков'!$B$7&amp;" ","")&amp;IF(AND(ABS('Реестр рисков'!$G$8-0.2)&lt;0.001,ABS('Реестр рисков'!$H$8-0.8)&lt;0.001),'Реестр рисков'!$B$8&amp;" ","")&amp;IF(AND(ABS('Реестр рисков'!$G$9-0.2)&lt;0.001,ABS('Реестр рисков'!$H$9-0.8)&lt;0.001),'Реестр рисков'!$B$9&amp;" ","")&amp;IF(AND(ABS('Реестр рисков'!$G$10-0.2)&lt;0.001,ABS('Реестр рисков'!$H$10-0.8)&lt;0.001),'Реестр рисков'!$B$10&amp;" ","")&amp;IF(AND(ABS('Реестр рисков'!$G$11-0.2)&lt;0.001,ABS('Реестр рисков'!$H$11-0.8)&lt;0.001),'Реестр рисков'!$B$11&amp;" ","")&amp;IF(AND(ABS('Реестр рисков'!$G$12-0.2)&lt;0.001,ABS('Реестр рисков'!$H$12-0.8)&lt;0.001),'Реестр рисков'!$B$12&amp;" ","")&amp;IF(AND(ABS('Реестр рисков'!$G$13-0.2)&lt;0.001,ABS('Реестр рисков'!$H$13-0.8)&lt;0.001),'Реестр рисков'!$B$13&amp;" ","")&amp;IF(AND(ABS('Реестр рисков'!$G$14-0.2)&lt;0.001,ABS('Реестр рисков'!$H$14-0.8)&lt;0.001),'Реестр рисков'!$B$14&amp;" ","")&amp;IF(AND(ABS('Реестр рисков'!$G$15-0.2)&lt;0.001,ABS('Реестр рисков'!$H$15-0.8)&lt;0.001),'Реестр рисков'!$B$15&amp;" ","")&amp;IF(AND(ABS('Реестр рисков'!$G$16-0.2)&lt;0.001,ABS('Реестр рисков'!$H$16-0.8)&lt;0.001),'Реестр рисков'!$B$16&amp;" ","")&amp;IF(AND(ABS('Реестр рисков'!$G$17-0.2)&lt;0.001,ABS('Реестр рисков'!$H$17-0.8)&lt;0.001),'Реестр рисков'!$B$17&amp;" ","")&amp;IF(AND(ABS('Реестр рисков'!$G$18-0.2)&lt;0.001,ABS('Реестр рисков'!$H$18-0.8)&lt;0.001),'Реестр рисков'!$B$18&amp;" ","")&amp;IF(AND(ABS('Реестр рисков'!$G$19-0.2)&lt;0.001,ABS('Реестр рисков'!$H$19-0.8)&lt;0.001),'Реестр рисков'!$B$19&amp;" ","")&amp;IF(AND(ABS('Реестр рисков'!$G$20-0.2)&lt;0.001,ABS('Реестр рисков'!$H$20-0.8)&lt;0.001),'Реестр рисков'!$B$20&amp;" ","")&amp;IF(AND(ABS('Реестр рисков'!$G$21-0.2)&lt;0.001,ABS('Реестр рисков'!$H$21-0.8)&lt;0.001),'Реестр рисков'!$B$21&amp;" ","")&amp;IF(AND(ABS('Реестр рисков'!$G$22-0.2)&lt;0.001,ABS('Реестр рисков'!$H$22-0.8)&lt;0.001),'Реестр рисков'!$B$22&amp;" ","")&amp;IF(AND(ABS('Реестр рисков'!$G$23-0.2)&lt;0.001,ABS('Реестр рисков'!$H$23-0.8)&lt;0.001),'Реестр рисков'!$B$23&amp;" ",""))</f>
        <v/>
      </c>
      <c r="E7" s="27" t="str">
        <f aca="false">TRIM(IF(AND(ABS('Реестр рисков'!$G$5-0.3)&lt;0.001,ABS('Реестр рисков'!$H$5-0.8)&lt;0.001),'Реестр рисков'!$B$5&amp;" ","")&amp;IF(AND(ABS('Реестр рисков'!$G$6-0.3)&lt;0.001,ABS('Реестр рисков'!$H$6-0.8)&lt;0.001),'Реестр рисков'!$B$6&amp;" ","")&amp;IF(AND(ABS('Реестр рисков'!$G$7-0.3)&lt;0.001,ABS('Реестр рисков'!$H$7-0.8)&lt;0.001),'Реестр рисков'!$B$7&amp;" ","")&amp;IF(AND(ABS('Реестр рисков'!$G$8-0.3)&lt;0.001,ABS('Реестр рисков'!$H$8-0.8)&lt;0.001),'Реестр рисков'!$B$8&amp;" ","")&amp;IF(AND(ABS('Реестр рисков'!$G$9-0.3)&lt;0.001,ABS('Реестр рисков'!$H$9-0.8)&lt;0.001),'Реестр рисков'!$B$9&amp;" ","")&amp;IF(AND(ABS('Реестр рисков'!$G$10-0.3)&lt;0.001,ABS('Реестр рисков'!$H$10-0.8)&lt;0.001),'Реестр рисков'!$B$10&amp;" ","")&amp;IF(AND(ABS('Реестр рисков'!$G$11-0.3)&lt;0.001,ABS('Реестр рисков'!$H$11-0.8)&lt;0.001),'Реестр рисков'!$B$11&amp;" ","")&amp;IF(AND(ABS('Реестр рисков'!$G$12-0.3)&lt;0.001,ABS('Реестр рисков'!$H$12-0.8)&lt;0.001),'Реестр рисков'!$B$12&amp;" ","")&amp;IF(AND(ABS('Реестр рисков'!$G$13-0.3)&lt;0.001,ABS('Реестр рисков'!$H$13-0.8)&lt;0.001),'Реестр рисков'!$B$13&amp;" ","")&amp;IF(AND(ABS('Реестр рисков'!$G$14-0.3)&lt;0.001,ABS('Реестр рисков'!$H$14-0.8)&lt;0.001),'Реестр рисков'!$B$14&amp;" ","")&amp;IF(AND(ABS('Реестр рисков'!$G$15-0.3)&lt;0.001,ABS('Реестр рисков'!$H$15-0.8)&lt;0.001),'Реестр рисков'!$B$15&amp;" ","")&amp;IF(AND(ABS('Реестр рисков'!$G$16-0.3)&lt;0.001,ABS('Реестр рисков'!$H$16-0.8)&lt;0.001),'Реестр рисков'!$B$16&amp;" ","")&amp;IF(AND(ABS('Реестр рисков'!$G$17-0.3)&lt;0.001,ABS('Реестр рисков'!$H$17-0.8)&lt;0.001),'Реестр рисков'!$B$17&amp;" ","")&amp;IF(AND(ABS('Реестр рисков'!$G$18-0.3)&lt;0.001,ABS('Реестр рисков'!$H$18-0.8)&lt;0.001),'Реестр рисков'!$B$18&amp;" ","")&amp;IF(AND(ABS('Реестр рисков'!$G$19-0.3)&lt;0.001,ABS('Реестр рисков'!$H$19-0.8)&lt;0.001),'Реестр рисков'!$B$19&amp;" ","")&amp;IF(AND(ABS('Реестр рисков'!$G$20-0.3)&lt;0.001,ABS('Реестр рисков'!$H$20-0.8)&lt;0.001),'Реестр рисков'!$B$20&amp;" ","")&amp;IF(AND(ABS('Реестр рисков'!$G$21-0.3)&lt;0.001,ABS('Реестр рисков'!$H$21-0.8)&lt;0.001),'Реестр рисков'!$B$21&amp;" ","")&amp;IF(AND(ABS('Реестр рисков'!$G$22-0.3)&lt;0.001,ABS('Реестр рисков'!$H$22-0.8)&lt;0.001),'Реестр рисков'!$B$22&amp;" ","")&amp;IF(AND(ABS('Реестр рисков'!$G$23-0.3)&lt;0.001,ABS('Реестр рисков'!$H$23-0.8)&lt;0.001),'Реестр рисков'!$B$23&amp;" ",""))</f>
        <v>R12</v>
      </c>
      <c r="F7" s="27" t="str">
        <f aca="false">TRIM(IF(AND(ABS('Реестр рисков'!$G$5-0.4)&lt;0.001,ABS('Реестр рисков'!$H$5-0.8)&lt;0.001),'Реестр рисков'!$B$5&amp;" ","")&amp;IF(AND(ABS('Реестр рисков'!$G$6-0.4)&lt;0.001,ABS('Реестр рисков'!$H$6-0.8)&lt;0.001),'Реестр рисков'!$B$6&amp;" ","")&amp;IF(AND(ABS('Реестр рисков'!$G$7-0.4)&lt;0.001,ABS('Реестр рисков'!$H$7-0.8)&lt;0.001),'Реестр рисков'!$B$7&amp;" ","")&amp;IF(AND(ABS('Реестр рисков'!$G$8-0.4)&lt;0.001,ABS('Реестр рисков'!$H$8-0.8)&lt;0.001),'Реестр рисков'!$B$8&amp;" ","")&amp;IF(AND(ABS('Реестр рисков'!$G$9-0.4)&lt;0.001,ABS('Реестр рисков'!$H$9-0.8)&lt;0.001),'Реестр рисков'!$B$9&amp;" ","")&amp;IF(AND(ABS('Реестр рисков'!$G$10-0.4)&lt;0.001,ABS('Реестр рисков'!$H$10-0.8)&lt;0.001),'Реестр рисков'!$B$10&amp;" ","")&amp;IF(AND(ABS('Реестр рисков'!$G$11-0.4)&lt;0.001,ABS('Реестр рисков'!$H$11-0.8)&lt;0.001),'Реестр рисков'!$B$11&amp;" ","")&amp;IF(AND(ABS('Реестр рисков'!$G$12-0.4)&lt;0.001,ABS('Реестр рисков'!$H$12-0.8)&lt;0.001),'Реестр рисков'!$B$12&amp;" ","")&amp;IF(AND(ABS('Реестр рисков'!$G$13-0.4)&lt;0.001,ABS('Реестр рисков'!$H$13-0.8)&lt;0.001),'Реестр рисков'!$B$13&amp;" ","")&amp;IF(AND(ABS('Реестр рисков'!$G$14-0.4)&lt;0.001,ABS('Реестр рисков'!$H$14-0.8)&lt;0.001),'Реестр рисков'!$B$14&amp;" ","")&amp;IF(AND(ABS('Реестр рисков'!$G$15-0.4)&lt;0.001,ABS('Реестр рисков'!$H$15-0.8)&lt;0.001),'Реестр рисков'!$B$15&amp;" ","")&amp;IF(AND(ABS('Реестр рисков'!$G$16-0.4)&lt;0.001,ABS('Реестр рисков'!$H$16-0.8)&lt;0.001),'Реестр рисков'!$B$16&amp;" ","")&amp;IF(AND(ABS('Реестр рисков'!$G$17-0.4)&lt;0.001,ABS('Реестр рисков'!$H$17-0.8)&lt;0.001),'Реестр рисков'!$B$17&amp;" ","")&amp;IF(AND(ABS('Реестр рисков'!$G$18-0.4)&lt;0.001,ABS('Реестр рисков'!$H$18-0.8)&lt;0.001),'Реестр рисков'!$B$18&amp;" ","")&amp;IF(AND(ABS('Реестр рисков'!$G$19-0.4)&lt;0.001,ABS('Реестр рисков'!$H$19-0.8)&lt;0.001),'Реестр рисков'!$B$19&amp;" ","")&amp;IF(AND(ABS('Реестр рисков'!$G$20-0.4)&lt;0.001,ABS('Реестр рисков'!$H$20-0.8)&lt;0.001),'Реестр рисков'!$B$20&amp;" ","")&amp;IF(AND(ABS('Реестр рисков'!$G$21-0.4)&lt;0.001,ABS('Реестр рисков'!$H$21-0.8)&lt;0.001),'Реестр рисков'!$B$21&amp;" ","")&amp;IF(AND(ABS('Реестр рисков'!$G$22-0.4)&lt;0.001,ABS('Реестр рисков'!$H$22-0.8)&lt;0.001),'Реестр рисков'!$B$22&amp;" ","")&amp;IF(AND(ABS('Реестр рисков'!$G$23-0.4)&lt;0.001,ABS('Реестр рисков'!$H$23-0.8)&lt;0.001),'Реестр рисков'!$B$23&amp;" ",""))</f>
        <v>R7</v>
      </c>
      <c r="G7" s="27" t="str">
        <f aca="false">TRIM(IF(AND(ABS('Реестр рисков'!$G$5-0.5)&lt;0.001,ABS('Реестр рисков'!$H$5-0.8)&lt;0.001),'Реестр рисков'!$B$5&amp;" ","")&amp;IF(AND(ABS('Реестр рисков'!$G$6-0.5)&lt;0.001,ABS('Реестр рисков'!$H$6-0.8)&lt;0.001),'Реестр рисков'!$B$6&amp;" ","")&amp;IF(AND(ABS('Реестр рисков'!$G$7-0.5)&lt;0.001,ABS('Реестр рисков'!$H$7-0.8)&lt;0.001),'Реестр рисков'!$B$7&amp;" ","")&amp;IF(AND(ABS('Реестр рисков'!$G$8-0.5)&lt;0.001,ABS('Реестр рисков'!$H$8-0.8)&lt;0.001),'Реестр рисков'!$B$8&amp;" ","")&amp;IF(AND(ABS('Реестр рисков'!$G$9-0.5)&lt;0.001,ABS('Реестр рисков'!$H$9-0.8)&lt;0.001),'Реестр рисков'!$B$9&amp;" ","")&amp;IF(AND(ABS('Реестр рисков'!$G$10-0.5)&lt;0.001,ABS('Реестр рисков'!$H$10-0.8)&lt;0.001),'Реестр рисков'!$B$10&amp;" ","")&amp;IF(AND(ABS('Реестр рисков'!$G$11-0.5)&lt;0.001,ABS('Реестр рисков'!$H$11-0.8)&lt;0.001),'Реестр рисков'!$B$11&amp;" ","")&amp;IF(AND(ABS('Реестр рисков'!$G$12-0.5)&lt;0.001,ABS('Реестр рисков'!$H$12-0.8)&lt;0.001),'Реестр рисков'!$B$12&amp;" ","")&amp;IF(AND(ABS('Реестр рисков'!$G$13-0.5)&lt;0.001,ABS('Реестр рисков'!$H$13-0.8)&lt;0.001),'Реестр рисков'!$B$13&amp;" ","")&amp;IF(AND(ABS('Реестр рисков'!$G$14-0.5)&lt;0.001,ABS('Реестр рисков'!$H$14-0.8)&lt;0.001),'Реестр рисков'!$B$14&amp;" ","")&amp;IF(AND(ABS('Реестр рисков'!$G$15-0.5)&lt;0.001,ABS('Реестр рисков'!$H$15-0.8)&lt;0.001),'Реестр рисков'!$B$15&amp;" ","")&amp;IF(AND(ABS('Реестр рисков'!$G$16-0.5)&lt;0.001,ABS('Реестр рисков'!$H$16-0.8)&lt;0.001),'Реестр рисков'!$B$16&amp;" ","")&amp;IF(AND(ABS('Реестр рисков'!$G$17-0.5)&lt;0.001,ABS('Реестр рисков'!$H$17-0.8)&lt;0.001),'Реестр рисков'!$B$17&amp;" ","")&amp;IF(AND(ABS('Реестр рисков'!$G$18-0.5)&lt;0.001,ABS('Реестр рисков'!$H$18-0.8)&lt;0.001),'Реестр рисков'!$B$18&amp;" ","")&amp;IF(AND(ABS('Реестр рисков'!$G$19-0.5)&lt;0.001,ABS('Реестр рисков'!$H$19-0.8)&lt;0.001),'Реестр рисков'!$B$19&amp;" ","")&amp;IF(AND(ABS('Реестр рисков'!$G$20-0.5)&lt;0.001,ABS('Реестр рисков'!$H$20-0.8)&lt;0.001),'Реестр рисков'!$B$20&amp;" ","")&amp;IF(AND(ABS('Реестр рисков'!$G$21-0.5)&lt;0.001,ABS('Реестр рисков'!$H$21-0.8)&lt;0.001),'Реестр рисков'!$B$21&amp;" ","")&amp;IF(AND(ABS('Реестр рисков'!$G$22-0.5)&lt;0.001,ABS('Реестр рисков'!$H$22-0.8)&lt;0.001),'Реестр рисков'!$B$22&amp;" ","")&amp;IF(AND(ABS('Реестр рисков'!$G$23-0.5)&lt;0.001,ABS('Реестр рисков'!$H$23-0.8)&lt;0.001),'Реестр рисков'!$B$23&amp;" ",""))</f>
        <v>R5</v>
      </c>
      <c r="H7" s="27" t="str">
        <f aca="false">TRIM(IF(AND(ABS('Реестр рисков'!$G$5-0.6)&lt;0.001,ABS('Реестр рисков'!$H$5-0.8)&lt;0.001),'Реестр рисков'!$B$5&amp;" ","")&amp;IF(AND(ABS('Реестр рисков'!$G$6-0.6)&lt;0.001,ABS('Реестр рисков'!$H$6-0.8)&lt;0.001),'Реестр рисков'!$B$6&amp;" ","")&amp;IF(AND(ABS('Реестр рисков'!$G$7-0.6)&lt;0.001,ABS('Реестр рисков'!$H$7-0.8)&lt;0.001),'Реестр рисков'!$B$7&amp;" ","")&amp;IF(AND(ABS('Реестр рисков'!$G$8-0.6)&lt;0.001,ABS('Реестр рисков'!$H$8-0.8)&lt;0.001),'Реестр рисков'!$B$8&amp;" ","")&amp;IF(AND(ABS('Реестр рисков'!$G$9-0.6)&lt;0.001,ABS('Реестр рисков'!$H$9-0.8)&lt;0.001),'Реестр рисков'!$B$9&amp;" ","")&amp;IF(AND(ABS('Реестр рисков'!$G$10-0.6)&lt;0.001,ABS('Реестр рисков'!$H$10-0.8)&lt;0.001),'Реестр рисков'!$B$10&amp;" ","")&amp;IF(AND(ABS('Реестр рисков'!$G$11-0.6)&lt;0.001,ABS('Реестр рисков'!$H$11-0.8)&lt;0.001),'Реестр рисков'!$B$11&amp;" ","")&amp;IF(AND(ABS('Реестр рисков'!$G$12-0.6)&lt;0.001,ABS('Реестр рисков'!$H$12-0.8)&lt;0.001),'Реестр рисков'!$B$12&amp;" ","")&amp;IF(AND(ABS('Реестр рисков'!$G$13-0.6)&lt;0.001,ABS('Реестр рисков'!$H$13-0.8)&lt;0.001),'Реестр рисков'!$B$13&amp;" ","")&amp;IF(AND(ABS('Реестр рисков'!$G$14-0.6)&lt;0.001,ABS('Реестр рисков'!$H$14-0.8)&lt;0.001),'Реестр рисков'!$B$14&amp;" ","")&amp;IF(AND(ABS('Реестр рисков'!$G$15-0.6)&lt;0.001,ABS('Реестр рисков'!$H$15-0.8)&lt;0.001),'Реестр рисков'!$B$15&amp;" ","")&amp;IF(AND(ABS('Реестр рисков'!$G$16-0.6)&lt;0.001,ABS('Реестр рисков'!$H$16-0.8)&lt;0.001),'Реестр рисков'!$B$16&amp;" ","")&amp;IF(AND(ABS('Реестр рисков'!$G$17-0.6)&lt;0.001,ABS('Реестр рисков'!$H$17-0.8)&lt;0.001),'Реестр рисков'!$B$17&amp;" ","")&amp;IF(AND(ABS('Реестр рисков'!$G$18-0.6)&lt;0.001,ABS('Реестр рисков'!$H$18-0.8)&lt;0.001),'Реестр рисков'!$B$18&amp;" ","")&amp;IF(AND(ABS('Реестр рисков'!$G$19-0.6)&lt;0.001,ABS('Реестр рисков'!$H$19-0.8)&lt;0.001),'Реестр рисков'!$B$19&amp;" ","")&amp;IF(AND(ABS('Реестр рисков'!$G$20-0.6)&lt;0.001,ABS('Реестр рисков'!$H$20-0.8)&lt;0.001),'Реестр рисков'!$B$20&amp;" ","")&amp;IF(AND(ABS('Реестр рисков'!$G$21-0.6)&lt;0.001,ABS('Реестр рисков'!$H$21-0.8)&lt;0.001),'Реестр рисков'!$B$21&amp;" ","")&amp;IF(AND(ABS('Реестр рисков'!$G$22-0.6)&lt;0.001,ABS('Реестр рисков'!$H$22-0.8)&lt;0.001),'Реестр рисков'!$B$22&amp;" ","")&amp;IF(AND(ABS('Реестр рисков'!$G$23-0.6)&lt;0.001,ABS('Реестр рисков'!$H$23-0.8)&lt;0.001),'Реестр рисков'!$B$23&amp;" ",""))</f>
        <v/>
      </c>
      <c r="I7" s="28" t="str">
        <f aca="false">TRIM(IF(AND(ABS('Реестр рисков'!$G$5-0.7)&lt;0.001,ABS('Реестр рисков'!$H$5-0.8)&lt;0.001),'Реестр рисков'!$B$5&amp;" ","")&amp;IF(AND(ABS('Реестр рисков'!$G$6-0.7)&lt;0.001,ABS('Реестр рисков'!$H$6-0.8)&lt;0.001),'Реестр рисков'!$B$6&amp;" ","")&amp;IF(AND(ABS('Реестр рисков'!$G$7-0.7)&lt;0.001,ABS('Реестр рисков'!$H$7-0.8)&lt;0.001),'Реестр рисков'!$B$7&amp;" ","")&amp;IF(AND(ABS('Реестр рисков'!$G$8-0.7)&lt;0.001,ABS('Реестр рисков'!$H$8-0.8)&lt;0.001),'Реестр рисков'!$B$8&amp;" ","")&amp;IF(AND(ABS('Реестр рисков'!$G$9-0.7)&lt;0.001,ABS('Реестр рисков'!$H$9-0.8)&lt;0.001),'Реестр рисков'!$B$9&amp;" ","")&amp;IF(AND(ABS('Реестр рисков'!$G$10-0.7)&lt;0.001,ABS('Реестр рисков'!$H$10-0.8)&lt;0.001),'Реестр рисков'!$B$10&amp;" ","")&amp;IF(AND(ABS('Реестр рисков'!$G$11-0.7)&lt;0.001,ABS('Реестр рисков'!$H$11-0.8)&lt;0.001),'Реестр рисков'!$B$11&amp;" ","")&amp;IF(AND(ABS('Реестр рисков'!$G$12-0.7)&lt;0.001,ABS('Реестр рисков'!$H$12-0.8)&lt;0.001),'Реестр рисков'!$B$12&amp;" ","")&amp;IF(AND(ABS('Реестр рисков'!$G$13-0.7)&lt;0.001,ABS('Реестр рисков'!$H$13-0.8)&lt;0.001),'Реестр рисков'!$B$13&amp;" ","")&amp;IF(AND(ABS('Реестр рисков'!$G$14-0.7)&lt;0.001,ABS('Реестр рисков'!$H$14-0.8)&lt;0.001),'Реестр рисков'!$B$14&amp;" ","")&amp;IF(AND(ABS('Реестр рисков'!$G$15-0.7)&lt;0.001,ABS('Реестр рисков'!$H$15-0.8)&lt;0.001),'Реестр рисков'!$B$15&amp;" ","")&amp;IF(AND(ABS('Реестр рисков'!$G$16-0.7)&lt;0.001,ABS('Реестр рисков'!$H$16-0.8)&lt;0.001),'Реестр рисков'!$B$16&amp;" ","")&amp;IF(AND(ABS('Реестр рисков'!$G$17-0.7)&lt;0.001,ABS('Реестр рисков'!$H$17-0.8)&lt;0.001),'Реестр рисков'!$B$17&amp;" ","")&amp;IF(AND(ABS('Реестр рисков'!$G$18-0.7)&lt;0.001,ABS('Реестр рисков'!$H$18-0.8)&lt;0.001),'Реестр рисков'!$B$18&amp;" ","")&amp;IF(AND(ABS('Реестр рисков'!$G$19-0.7)&lt;0.001,ABS('Реестр рисков'!$H$19-0.8)&lt;0.001),'Реестр рисков'!$B$19&amp;" ","")&amp;IF(AND(ABS('Реестр рисков'!$G$20-0.7)&lt;0.001,ABS('Реестр рисков'!$H$20-0.8)&lt;0.001),'Реестр рисков'!$B$20&amp;" ","")&amp;IF(AND(ABS('Реестр рисков'!$G$21-0.7)&lt;0.001,ABS('Реестр рисков'!$H$21-0.8)&lt;0.001),'Реестр рисков'!$B$21&amp;" ","")&amp;IF(AND(ABS('Реестр рисков'!$G$22-0.7)&lt;0.001,ABS('Реестр рисков'!$H$22-0.8)&lt;0.001),'Реестр рисков'!$B$22&amp;" ","")&amp;IF(AND(ABS('Реестр рисков'!$G$23-0.7)&lt;0.001,ABS('Реестр рисков'!$H$23-0.8)&lt;0.001),'Реестр рисков'!$B$23&amp;" ",""))</f>
        <v>R1</v>
      </c>
      <c r="J7" s="28" t="str">
        <f aca="false">TRIM(IF(AND(ABS('Реестр рисков'!$G$5-0.8)&lt;0.001,ABS('Реестр рисков'!$H$5-0.8)&lt;0.001),'Реестр рисков'!$B$5&amp;" ","")&amp;IF(AND(ABS('Реестр рисков'!$G$6-0.8)&lt;0.001,ABS('Реестр рисков'!$H$6-0.8)&lt;0.001),'Реестр рисков'!$B$6&amp;" ","")&amp;IF(AND(ABS('Реестр рисков'!$G$7-0.8)&lt;0.001,ABS('Реестр рисков'!$H$7-0.8)&lt;0.001),'Реестр рисков'!$B$7&amp;" ","")&amp;IF(AND(ABS('Реестр рисков'!$G$8-0.8)&lt;0.001,ABS('Реестр рисков'!$H$8-0.8)&lt;0.001),'Реестр рисков'!$B$8&amp;" ","")&amp;IF(AND(ABS('Реестр рисков'!$G$9-0.8)&lt;0.001,ABS('Реестр рисков'!$H$9-0.8)&lt;0.001),'Реестр рисков'!$B$9&amp;" ","")&amp;IF(AND(ABS('Реестр рисков'!$G$10-0.8)&lt;0.001,ABS('Реестр рисков'!$H$10-0.8)&lt;0.001),'Реестр рисков'!$B$10&amp;" ","")&amp;IF(AND(ABS('Реестр рисков'!$G$11-0.8)&lt;0.001,ABS('Реестр рисков'!$H$11-0.8)&lt;0.001),'Реестр рисков'!$B$11&amp;" ","")&amp;IF(AND(ABS('Реестр рисков'!$G$12-0.8)&lt;0.001,ABS('Реестр рисков'!$H$12-0.8)&lt;0.001),'Реестр рисков'!$B$12&amp;" ","")&amp;IF(AND(ABS('Реестр рисков'!$G$13-0.8)&lt;0.001,ABS('Реестр рисков'!$H$13-0.8)&lt;0.001),'Реестр рисков'!$B$13&amp;" ","")&amp;IF(AND(ABS('Реестр рисков'!$G$14-0.8)&lt;0.001,ABS('Реестр рисков'!$H$14-0.8)&lt;0.001),'Реестр рисков'!$B$14&amp;" ","")&amp;IF(AND(ABS('Реестр рисков'!$G$15-0.8)&lt;0.001,ABS('Реестр рисков'!$H$15-0.8)&lt;0.001),'Реестр рисков'!$B$15&amp;" ","")&amp;IF(AND(ABS('Реестр рисков'!$G$16-0.8)&lt;0.001,ABS('Реестр рисков'!$H$16-0.8)&lt;0.001),'Реестр рисков'!$B$16&amp;" ","")&amp;IF(AND(ABS('Реестр рисков'!$G$17-0.8)&lt;0.001,ABS('Реестр рисков'!$H$17-0.8)&lt;0.001),'Реестр рисков'!$B$17&amp;" ","")&amp;IF(AND(ABS('Реестр рисков'!$G$18-0.8)&lt;0.001,ABS('Реестр рисков'!$H$18-0.8)&lt;0.001),'Реестр рисков'!$B$18&amp;" ","")&amp;IF(AND(ABS('Реестр рисков'!$G$19-0.8)&lt;0.001,ABS('Реестр рисков'!$H$19-0.8)&lt;0.001),'Реестр рисков'!$B$19&amp;" ","")&amp;IF(AND(ABS('Реестр рисков'!$G$20-0.8)&lt;0.001,ABS('Реестр рисков'!$H$20-0.8)&lt;0.001),'Реестр рисков'!$B$20&amp;" ","")&amp;IF(AND(ABS('Реестр рисков'!$G$21-0.8)&lt;0.001,ABS('Реестр рисков'!$H$21-0.8)&lt;0.001),'Реестр рисков'!$B$21&amp;" ","")&amp;IF(AND(ABS('Реестр рисков'!$G$22-0.8)&lt;0.001,ABS('Реестр рисков'!$H$22-0.8)&lt;0.001),'Реестр рисков'!$B$22&amp;" ","")&amp;IF(AND(ABS('Реестр рисков'!$G$23-0.8)&lt;0.001,ABS('Реестр рисков'!$H$23-0.8)&lt;0.001),'Реестр рисков'!$B$23&amp;" ",""))</f>
        <v/>
      </c>
      <c r="K7" s="28" t="str">
        <f aca="false">TRIM(IF(AND(ABS('Реестр рисков'!$G$5-0.9)&lt;0.001,ABS('Реестр рисков'!$H$5-0.8)&lt;0.001),'Реестр рисков'!$B$5&amp;" ","")&amp;IF(AND(ABS('Реестр рисков'!$G$6-0.9)&lt;0.001,ABS('Реестр рисков'!$H$6-0.8)&lt;0.001),'Реестр рисков'!$B$6&amp;" ","")&amp;IF(AND(ABS('Реестр рисков'!$G$7-0.9)&lt;0.001,ABS('Реестр рисков'!$H$7-0.8)&lt;0.001),'Реестр рисков'!$B$7&amp;" ","")&amp;IF(AND(ABS('Реестр рисков'!$G$8-0.9)&lt;0.001,ABS('Реестр рисков'!$H$8-0.8)&lt;0.001),'Реестр рисков'!$B$8&amp;" ","")&amp;IF(AND(ABS('Реестр рисков'!$G$9-0.9)&lt;0.001,ABS('Реестр рисков'!$H$9-0.8)&lt;0.001),'Реестр рисков'!$B$9&amp;" ","")&amp;IF(AND(ABS('Реестр рисков'!$G$10-0.9)&lt;0.001,ABS('Реестр рисков'!$H$10-0.8)&lt;0.001),'Реестр рисков'!$B$10&amp;" ","")&amp;IF(AND(ABS('Реестр рисков'!$G$11-0.9)&lt;0.001,ABS('Реестр рисков'!$H$11-0.8)&lt;0.001),'Реестр рисков'!$B$11&amp;" ","")&amp;IF(AND(ABS('Реестр рисков'!$G$12-0.9)&lt;0.001,ABS('Реестр рисков'!$H$12-0.8)&lt;0.001),'Реестр рисков'!$B$12&amp;" ","")&amp;IF(AND(ABS('Реестр рисков'!$G$13-0.9)&lt;0.001,ABS('Реестр рисков'!$H$13-0.8)&lt;0.001),'Реестр рисков'!$B$13&amp;" ","")&amp;IF(AND(ABS('Реестр рисков'!$G$14-0.9)&lt;0.001,ABS('Реестр рисков'!$H$14-0.8)&lt;0.001),'Реестр рисков'!$B$14&amp;" ","")&amp;IF(AND(ABS('Реестр рисков'!$G$15-0.9)&lt;0.001,ABS('Реестр рисков'!$H$15-0.8)&lt;0.001),'Реестр рисков'!$B$15&amp;" ","")&amp;IF(AND(ABS('Реестр рисков'!$G$16-0.9)&lt;0.001,ABS('Реестр рисков'!$H$16-0.8)&lt;0.001),'Реестр рисков'!$B$16&amp;" ","")&amp;IF(AND(ABS('Реестр рисков'!$G$17-0.9)&lt;0.001,ABS('Реестр рисков'!$H$17-0.8)&lt;0.001),'Реестр рисков'!$B$17&amp;" ","")&amp;IF(AND(ABS('Реестр рисков'!$G$18-0.9)&lt;0.001,ABS('Реестр рисков'!$H$18-0.8)&lt;0.001),'Реестр рисков'!$B$18&amp;" ","")&amp;IF(AND(ABS('Реестр рисков'!$G$19-0.9)&lt;0.001,ABS('Реестр рисков'!$H$19-0.8)&lt;0.001),'Реестр рисков'!$B$19&amp;" ","")&amp;IF(AND(ABS('Реестр рисков'!$G$20-0.9)&lt;0.001,ABS('Реестр рисков'!$H$20-0.8)&lt;0.001),'Реестр рисков'!$B$20&amp;" ","")&amp;IF(AND(ABS('Реестр рисков'!$G$21-0.9)&lt;0.001,ABS('Реестр рисков'!$H$21-0.8)&lt;0.001),'Реестр рисков'!$B$21&amp;" ","")&amp;IF(AND(ABS('Реестр рисков'!$G$22-0.9)&lt;0.001,ABS('Реестр рисков'!$H$22-0.8)&lt;0.001),'Реестр рисков'!$B$22&amp;" ","")&amp;IF(AND(ABS('Реестр рисков'!$G$23-0.9)&lt;0.001,ABS('Реестр рисков'!$H$23-0.8)&lt;0.001),'Реестр рисков'!$B$23&amp;" ",""))</f>
        <v/>
      </c>
      <c r="L7" s="28" t="str">
        <f aca="false">TRIM(IF(AND(ABS('Реестр рисков'!$G$5-1)&lt;0.001,ABS('Реестр рисков'!$H$5-0.8)&lt;0.001),'Реестр рисков'!$B$5&amp;" ","")&amp;IF(AND(ABS('Реестр рисков'!$G$6-1)&lt;0.001,ABS('Реестр рисков'!$H$6-0.8)&lt;0.001),'Реестр рисков'!$B$6&amp;" ","")&amp;IF(AND(ABS('Реестр рисков'!$G$7-1)&lt;0.001,ABS('Реестр рисков'!$H$7-0.8)&lt;0.001),'Реестр рисков'!$B$7&amp;" ","")&amp;IF(AND(ABS('Реестр рисков'!$G$8-1)&lt;0.001,ABS('Реестр рисков'!$H$8-0.8)&lt;0.001),'Реестр рисков'!$B$8&amp;" ","")&amp;IF(AND(ABS('Реестр рисков'!$G$9-1)&lt;0.001,ABS('Реестр рисков'!$H$9-0.8)&lt;0.001),'Реестр рисков'!$B$9&amp;" ","")&amp;IF(AND(ABS('Реестр рисков'!$G$10-1)&lt;0.001,ABS('Реестр рисков'!$H$10-0.8)&lt;0.001),'Реестр рисков'!$B$10&amp;" ","")&amp;IF(AND(ABS('Реестр рисков'!$G$11-1)&lt;0.001,ABS('Реестр рисков'!$H$11-0.8)&lt;0.001),'Реестр рисков'!$B$11&amp;" ","")&amp;IF(AND(ABS('Реестр рисков'!$G$12-1)&lt;0.001,ABS('Реестр рисков'!$H$12-0.8)&lt;0.001),'Реестр рисков'!$B$12&amp;" ","")&amp;IF(AND(ABS('Реестр рисков'!$G$13-1)&lt;0.001,ABS('Реестр рисков'!$H$13-0.8)&lt;0.001),'Реестр рисков'!$B$13&amp;" ","")&amp;IF(AND(ABS('Реестр рисков'!$G$14-1)&lt;0.001,ABS('Реестр рисков'!$H$14-0.8)&lt;0.001),'Реестр рисков'!$B$14&amp;" ","")&amp;IF(AND(ABS('Реестр рисков'!$G$15-1)&lt;0.001,ABS('Реестр рисков'!$H$15-0.8)&lt;0.001),'Реестр рисков'!$B$15&amp;" ","")&amp;IF(AND(ABS('Реестр рисков'!$G$16-1)&lt;0.001,ABS('Реестр рисков'!$H$16-0.8)&lt;0.001),'Реестр рисков'!$B$16&amp;" ","")&amp;IF(AND(ABS('Реестр рисков'!$G$17-1)&lt;0.001,ABS('Реестр рисков'!$H$17-0.8)&lt;0.001),'Реестр рисков'!$B$17&amp;" ","")&amp;IF(AND(ABS('Реестр рисков'!$G$18-1)&lt;0.001,ABS('Реестр рисков'!$H$18-0.8)&lt;0.001),'Реестр рисков'!$B$18&amp;" ","")&amp;IF(AND(ABS('Реестр рисков'!$G$19-1)&lt;0.001,ABS('Реестр рисков'!$H$19-0.8)&lt;0.001),'Реестр рисков'!$B$19&amp;" ","")&amp;IF(AND(ABS('Реестр рисков'!$G$20-1)&lt;0.001,ABS('Реестр рисков'!$H$20-0.8)&lt;0.001),'Реестр рисков'!$B$20&amp;" ","")&amp;IF(AND(ABS('Реестр рисков'!$G$21-1)&lt;0.001,ABS('Реестр рисков'!$H$21-0.8)&lt;0.001),'Реестр рисков'!$B$21&amp;" ","")&amp;IF(AND(ABS('Реестр рисков'!$G$22-1)&lt;0.001,ABS('Реестр рисков'!$H$22-0.8)&lt;0.001),'Реестр рисков'!$B$22&amp;" ","")&amp;IF(AND(ABS('Реестр рисков'!$G$23-1)&lt;0.001,ABS('Реестр рисков'!$H$23-0.8)&lt;0.001),'Реестр рисков'!$B$23&amp;" ",""))</f>
        <v/>
      </c>
    </row>
    <row r="8" customFormat="false" ht="30" hidden="false" customHeight="true" outlineLevel="0" collapsed="false">
      <c r="A8" s="24"/>
      <c r="B8" s="25" t="n">
        <v>0.7</v>
      </c>
      <c r="C8" s="26" t="str">
        <f aca="false">TRIM(IF(AND(ABS('Реестр рисков'!$G$5-0.1)&lt;0.001,ABS('Реестр рисков'!$H$5-0.7)&lt;0.001),'Реестр рисков'!$B$5&amp;" ","")&amp;IF(AND(ABS('Реестр рисков'!$G$6-0.1)&lt;0.001,ABS('Реестр рисков'!$H$6-0.7)&lt;0.001),'Реестр рисков'!$B$6&amp;" ","")&amp;IF(AND(ABS('Реестр рисков'!$G$7-0.1)&lt;0.001,ABS('Реестр рисков'!$H$7-0.7)&lt;0.001),'Реестр рисков'!$B$7&amp;" ","")&amp;IF(AND(ABS('Реестр рисков'!$G$8-0.1)&lt;0.001,ABS('Реестр рисков'!$H$8-0.7)&lt;0.001),'Реестр рисков'!$B$8&amp;" ","")&amp;IF(AND(ABS('Реестр рисков'!$G$9-0.1)&lt;0.001,ABS('Реестр рисков'!$H$9-0.7)&lt;0.001),'Реестр рисков'!$B$9&amp;" ","")&amp;IF(AND(ABS('Реестр рисков'!$G$10-0.1)&lt;0.001,ABS('Реестр рисков'!$H$10-0.7)&lt;0.001),'Реестр рисков'!$B$10&amp;" ","")&amp;IF(AND(ABS('Реестр рисков'!$G$11-0.1)&lt;0.001,ABS('Реестр рисков'!$H$11-0.7)&lt;0.001),'Реестр рисков'!$B$11&amp;" ","")&amp;IF(AND(ABS('Реестр рисков'!$G$12-0.1)&lt;0.001,ABS('Реестр рисков'!$H$12-0.7)&lt;0.001),'Реестр рисков'!$B$12&amp;" ","")&amp;IF(AND(ABS('Реестр рисков'!$G$13-0.1)&lt;0.001,ABS('Реестр рисков'!$H$13-0.7)&lt;0.001),'Реестр рисков'!$B$13&amp;" ","")&amp;IF(AND(ABS('Реестр рисков'!$G$14-0.1)&lt;0.001,ABS('Реестр рисков'!$H$14-0.7)&lt;0.001),'Реестр рисков'!$B$14&amp;" ","")&amp;IF(AND(ABS('Реестр рисков'!$G$15-0.1)&lt;0.001,ABS('Реестр рисков'!$H$15-0.7)&lt;0.001),'Реестр рисков'!$B$15&amp;" ","")&amp;IF(AND(ABS('Реестр рисков'!$G$16-0.1)&lt;0.001,ABS('Реестр рисков'!$H$16-0.7)&lt;0.001),'Реестр рисков'!$B$16&amp;" ","")&amp;IF(AND(ABS('Реестр рисков'!$G$17-0.1)&lt;0.001,ABS('Реестр рисков'!$H$17-0.7)&lt;0.001),'Реестр рисков'!$B$17&amp;" ","")&amp;IF(AND(ABS('Реестр рисков'!$G$18-0.1)&lt;0.001,ABS('Реестр рисков'!$H$18-0.7)&lt;0.001),'Реестр рисков'!$B$18&amp;" ","")&amp;IF(AND(ABS('Реестр рисков'!$G$19-0.1)&lt;0.001,ABS('Реестр рисков'!$H$19-0.7)&lt;0.001),'Реестр рисков'!$B$19&amp;" ","")&amp;IF(AND(ABS('Реестр рисков'!$G$20-0.1)&lt;0.001,ABS('Реестр рисков'!$H$20-0.7)&lt;0.001),'Реестр рисков'!$B$20&amp;" ","")&amp;IF(AND(ABS('Реестр рисков'!$G$21-0.1)&lt;0.001,ABS('Реестр рисков'!$H$21-0.7)&lt;0.001),'Реестр рисков'!$B$21&amp;" ","")&amp;IF(AND(ABS('Реестр рисков'!$G$22-0.1)&lt;0.001,ABS('Реестр рисков'!$H$22-0.7)&lt;0.001),'Реестр рисков'!$B$22&amp;" ","")&amp;IF(AND(ABS('Реестр рисков'!$G$23-0.1)&lt;0.001,ABS('Реестр рисков'!$H$23-0.7)&lt;0.001),'Реестр рисков'!$B$23&amp;" ",""))</f>
        <v/>
      </c>
      <c r="D8" s="27" t="str">
        <f aca="false">TRIM(IF(AND(ABS('Реестр рисков'!$G$5-0.2)&lt;0.001,ABS('Реестр рисков'!$H$5-0.7)&lt;0.001),'Реестр рисков'!$B$5&amp;" ","")&amp;IF(AND(ABS('Реестр рисков'!$G$6-0.2)&lt;0.001,ABS('Реестр рисков'!$H$6-0.7)&lt;0.001),'Реестр рисков'!$B$6&amp;" ","")&amp;IF(AND(ABS('Реестр рисков'!$G$7-0.2)&lt;0.001,ABS('Реестр рисков'!$H$7-0.7)&lt;0.001),'Реестр рисков'!$B$7&amp;" ","")&amp;IF(AND(ABS('Реестр рисков'!$G$8-0.2)&lt;0.001,ABS('Реестр рисков'!$H$8-0.7)&lt;0.001),'Реестр рисков'!$B$8&amp;" ","")&amp;IF(AND(ABS('Реестр рисков'!$G$9-0.2)&lt;0.001,ABS('Реестр рисков'!$H$9-0.7)&lt;0.001),'Реестр рисков'!$B$9&amp;" ","")&amp;IF(AND(ABS('Реестр рисков'!$G$10-0.2)&lt;0.001,ABS('Реестр рисков'!$H$10-0.7)&lt;0.001),'Реестр рисков'!$B$10&amp;" ","")&amp;IF(AND(ABS('Реестр рисков'!$G$11-0.2)&lt;0.001,ABS('Реестр рисков'!$H$11-0.7)&lt;0.001),'Реестр рисков'!$B$11&amp;" ","")&amp;IF(AND(ABS('Реестр рисков'!$G$12-0.2)&lt;0.001,ABS('Реестр рисков'!$H$12-0.7)&lt;0.001),'Реестр рисков'!$B$12&amp;" ","")&amp;IF(AND(ABS('Реестр рисков'!$G$13-0.2)&lt;0.001,ABS('Реестр рисков'!$H$13-0.7)&lt;0.001),'Реестр рисков'!$B$13&amp;" ","")&amp;IF(AND(ABS('Реестр рисков'!$G$14-0.2)&lt;0.001,ABS('Реестр рисков'!$H$14-0.7)&lt;0.001),'Реестр рисков'!$B$14&amp;" ","")&amp;IF(AND(ABS('Реестр рисков'!$G$15-0.2)&lt;0.001,ABS('Реестр рисков'!$H$15-0.7)&lt;0.001),'Реестр рисков'!$B$15&amp;" ","")&amp;IF(AND(ABS('Реестр рисков'!$G$16-0.2)&lt;0.001,ABS('Реестр рисков'!$H$16-0.7)&lt;0.001),'Реестр рисков'!$B$16&amp;" ","")&amp;IF(AND(ABS('Реестр рисков'!$G$17-0.2)&lt;0.001,ABS('Реестр рисков'!$H$17-0.7)&lt;0.001),'Реестр рисков'!$B$17&amp;" ","")&amp;IF(AND(ABS('Реестр рисков'!$G$18-0.2)&lt;0.001,ABS('Реестр рисков'!$H$18-0.7)&lt;0.001),'Реестр рисков'!$B$18&amp;" ","")&amp;IF(AND(ABS('Реестр рисков'!$G$19-0.2)&lt;0.001,ABS('Реестр рисков'!$H$19-0.7)&lt;0.001),'Реестр рисков'!$B$19&amp;" ","")&amp;IF(AND(ABS('Реестр рисков'!$G$20-0.2)&lt;0.001,ABS('Реестр рисков'!$H$20-0.7)&lt;0.001),'Реестр рисков'!$B$20&amp;" ","")&amp;IF(AND(ABS('Реестр рисков'!$G$21-0.2)&lt;0.001,ABS('Реестр рисков'!$H$21-0.7)&lt;0.001),'Реестр рисков'!$B$21&amp;" ","")&amp;IF(AND(ABS('Реестр рисков'!$G$22-0.2)&lt;0.001,ABS('Реестр рисков'!$H$22-0.7)&lt;0.001),'Реестр рисков'!$B$22&amp;" ","")&amp;IF(AND(ABS('Реестр рисков'!$G$23-0.2)&lt;0.001,ABS('Реестр рисков'!$H$23-0.7)&lt;0.001),'Реестр рисков'!$B$23&amp;" ",""))</f>
        <v/>
      </c>
      <c r="E8" s="27" t="str">
        <f aca="false">TRIM(IF(AND(ABS('Реестр рисков'!$G$5-0.3)&lt;0.001,ABS('Реестр рисков'!$H$5-0.7)&lt;0.001),'Реестр рисков'!$B$5&amp;" ","")&amp;IF(AND(ABS('Реестр рисков'!$G$6-0.3)&lt;0.001,ABS('Реестр рисков'!$H$6-0.7)&lt;0.001),'Реестр рисков'!$B$6&amp;" ","")&amp;IF(AND(ABS('Реестр рисков'!$G$7-0.3)&lt;0.001,ABS('Реестр рисков'!$H$7-0.7)&lt;0.001),'Реестр рисков'!$B$7&amp;" ","")&amp;IF(AND(ABS('Реестр рисков'!$G$8-0.3)&lt;0.001,ABS('Реестр рисков'!$H$8-0.7)&lt;0.001),'Реестр рисков'!$B$8&amp;" ","")&amp;IF(AND(ABS('Реестр рисков'!$G$9-0.3)&lt;0.001,ABS('Реестр рисков'!$H$9-0.7)&lt;0.001),'Реестр рисков'!$B$9&amp;" ","")&amp;IF(AND(ABS('Реестр рисков'!$G$10-0.3)&lt;0.001,ABS('Реестр рисков'!$H$10-0.7)&lt;0.001),'Реестр рисков'!$B$10&amp;" ","")&amp;IF(AND(ABS('Реестр рисков'!$G$11-0.3)&lt;0.001,ABS('Реестр рисков'!$H$11-0.7)&lt;0.001),'Реестр рисков'!$B$11&amp;" ","")&amp;IF(AND(ABS('Реестр рисков'!$G$12-0.3)&lt;0.001,ABS('Реестр рисков'!$H$12-0.7)&lt;0.001),'Реестр рисков'!$B$12&amp;" ","")&amp;IF(AND(ABS('Реестр рисков'!$G$13-0.3)&lt;0.001,ABS('Реестр рисков'!$H$13-0.7)&lt;0.001),'Реестр рисков'!$B$13&amp;" ","")&amp;IF(AND(ABS('Реестр рисков'!$G$14-0.3)&lt;0.001,ABS('Реестр рисков'!$H$14-0.7)&lt;0.001),'Реестр рисков'!$B$14&amp;" ","")&amp;IF(AND(ABS('Реестр рисков'!$G$15-0.3)&lt;0.001,ABS('Реестр рисков'!$H$15-0.7)&lt;0.001),'Реестр рисков'!$B$15&amp;" ","")&amp;IF(AND(ABS('Реестр рисков'!$G$16-0.3)&lt;0.001,ABS('Реестр рисков'!$H$16-0.7)&lt;0.001),'Реестр рисков'!$B$16&amp;" ","")&amp;IF(AND(ABS('Реестр рисков'!$G$17-0.3)&lt;0.001,ABS('Реестр рисков'!$H$17-0.7)&lt;0.001),'Реестр рисков'!$B$17&amp;" ","")&amp;IF(AND(ABS('Реестр рисков'!$G$18-0.3)&lt;0.001,ABS('Реестр рисков'!$H$18-0.7)&lt;0.001),'Реестр рисков'!$B$18&amp;" ","")&amp;IF(AND(ABS('Реестр рисков'!$G$19-0.3)&lt;0.001,ABS('Реестр рисков'!$H$19-0.7)&lt;0.001),'Реестр рисков'!$B$19&amp;" ","")&amp;IF(AND(ABS('Реестр рисков'!$G$20-0.3)&lt;0.001,ABS('Реестр рисков'!$H$20-0.7)&lt;0.001),'Реестр рисков'!$B$20&amp;" ","")&amp;IF(AND(ABS('Реестр рисков'!$G$21-0.3)&lt;0.001,ABS('Реестр рисков'!$H$21-0.7)&lt;0.001),'Реестр рисков'!$B$21&amp;" ","")&amp;IF(AND(ABS('Реестр рисков'!$G$22-0.3)&lt;0.001,ABS('Реестр рисков'!$H$22-0.7)&lt;0.001),'Реестр рисков'!$B$22&amp;" ","")&amp;IF(AND(ABS('Реестр рисков'!$G$23-0.3)&lt;0.001,ABS('Реестр рисков'!$H$23-0.7)&lt;0.001),'Реестр рисков'!$B$23&amp;" ",""))</f>
        <v/>
      </c>
      <c r="F8" s="27" t="str">
        <f aca="false">TRIM(IF(AND(ABS('Реестр рисков'!$G$5-0.4)&lt;0.001,ABS('Реестр рисков'!$H$5-0.7)&lt;0.001),'Реестр рисков'!$B$5&amp;" ","")&amp;IF(AND(ABS('Реестр рисков'!$G$6-0.4)&lt;0.001,ABS('Реестр рисков'!$H$6-0.7)&lt;0.001),'Реестр рисков'!$B$6&amp;" ","")&amp;IF(AND(ABS('Реестр рисков'!$G$7-0.4)&lt;0.001,ABS('Реестр рисков'!$H$7-0.7)&lt;0.001),'Реестр рисков'!$B$7&amp;" ","")&amp;IF(AND(ABS('Реестр рисков'!$G$8-0.4)&lt;0.001,ABS('Реестр рисков'!$H$8-0.7)&lt;0.001),'Реестр рисков'!$B$8&amp;" ","")&amp;IF(AND(ABS('Реестр рисков'!$G$9-0.4)&lt;0.001,ABS('Реестр рисков'!$H$9-0.7)&lt;0.001),'Реестр рисков'!$B$9&amp;" ","")&amp;IF(AND(ABS('Реестр рисков'!$G$10-0.4)&lt;0.001,ABS('Реестр рисков'!$H$10-0.7)&lt;0.001),'Реестр рисков'!$B$10&amp;" ","")&amp;IF(AND(ABS('Реестр рисков'!$G$11-0.4)&lt;0.001,ABS('Реестр рисков'!$H$11-0.7)&lt;0.001),'Реестр рисков'!$B$11&amp;" ","")&amp;IF(AND(ABS('Реестр рисков'!$G$12-0.4)&lt;0.001,ABS('Реестр рисков'!$H$12-0.7)&lt;0.001),'Реестр рисков'!$B$12&amp;" ","")&amp;IF(AND(ABS('Реестр рисков'!$G$13-0.4)&lt;0.001,ABS('Реестр рисков'!$H$13-0.7)&lt;0.001),'Реестр рисков'!$B$13&amp;" ","")&amp;IF(AND(ABS('Реестр рисков'!$G$14-0.4)&lt;0.001,ABS('Реестр рисков'!$H$14-0.7)&lt;0.001),'Реестр рисков'!$B$14&amp;" ","")&amp;IF(AND(ABS('Реестр рисков'!$G$15-0.4)&lt;0.001,ABS('Реестр рисков'!$H$15-0.7)&lt;0.001),'Реестр рисков'!$B$15&amp;" ","")&amp;IF(AND(ABS('Реестр рисков'!$G$16-0.4)&lt;0.001,ABS('Реестр рисков'!$H$16-0.7)&lt;0.001),'Реестр рисков'!$B$16&amp;" ","")&amp;IF(AND(ABS('Реестр рисков'!$G$17-0.4)&lt;0.001,ABS('Реестр рисков'!$H$17-0.7)&lt;0.001),'Реестр рисков'!$B$17&amp;" ","")&amp;IF(AND(ABS('Реестр рисков'!$G$18-0.4)&lt;0.001,ABS('Реестр рисков'!$H$18-0.7)&lt;0.001),'Реестр рисков'!$B$18&amp;" ","")&amp;IF(AND(ABS('Реестр рисков'!$G$19-0.4)&lt;0.001,ABS('Реестр рисков'!$H$19-0.7)&lt;0.001),'Реестр рисков'!$B$19&amp;" ","")&amp;IF(AND(ABS('Реестр рисков'!$G$20-0.4)&lt;0.001,ABS('Реестр рисков'!$H$20-0.7)&lt;0.001),'Реестр рисков'!$B$20&amp;" ","")&amp;IF(AND(ABS('Реестр рисков'!$G$21-0.4)&lt;0.001,ABS('Реестр рисков'!$H$21-0.7)&lt;0.001),'Реестр рисков'!$B$21&amp;" ","")&amp;IF(AND(ABS('Реестр рисков'!$G$22-0.4)&lt;0.001,ABS('Реестр рисков'!$H$22-0.7)&lt;0.001),'Реестр рисков'!$B$22&amp;" ","")&amp;IF(AND(ABS('Реестр рисков'!$G$23-0.4)&lt;0.001,ABS('Реестр рисков'!$H$23-0.7)&lt;0.001),'Реестр рисков'!$B$23&amp;" ",""))</f>
        <v>R11</v>
      </c>
      <c r="G8" s="27" t="str">
        <f aca="false">TRIM(IF(AND(ABS('Реестр рисков'!$G$5-0.5)&lt;0.001,ABS('Реестр рисков'!$H$5-0.7)&lt;0.001),'Реестр рисков'!$B$5&amp;" ","")&amp;IF(AND(ABS('Реестр рисков'!$G$6-0.5)&lt;0.001,ABS('Реестр рисков'!$H$6-0.7)&lt;0.001),'Реестр рисков'!$B$6&amp;" ","")&amp;IF(AND(ABS('Реестр рисков'!$G$7-0.5)&lt;0.001,ABS('Реестр рисков'!$H$7-0.7)&lt;0.001),'Реестр рисков'!$B$7&amp;" ","")&amp;IF(AND(ABS('Реестр рисков'!$G$8-0.5)&lt;0.001,ABS('Реестр рисков'!$H$8-0.7)&lt;0.001),'Реестр рисков'!$B$8&amp;" ","")&amp;IF(AND(ABS('Реестр рисков'!$G$9-0.5)&lt;0.001,ABS('Реестр рисков'!$H$9-0.7)&lt;0.001),'Реестр рисков'!$B$9&amp;" ","")&amp;IF(AND(ABS('Реестр рисков'!$G$10-0.5)&lt;0.001,ABS('Реестр рисков'!$H$10-0.7)&lt;0.001),'Реестр рисков'!$B$10&amp;" ","")&amp;IF(AND(ABS('Реестр рисков'!$G$11-0.5)&lt;0.001,ABS('Реестр рисков'!$H$11-0.7)&lt;0.001),'Реестр рисков'!$B$11&amp;" ","")&amp;IF(AND(ABS('Реестр рисков'!$G$12-0.5)&lt;0.001,ABS('Реестр рисков'!$H$12-0.7)&lt;0.001),'Реестр рисков'!$B$12&amp;" ","")&amp;IF(AND(ABS('Реестр рисков'!$G$13-0.5)&lt;0.001,ABS('Реестр рисков'!$H$13-0.7)&lt;0.001),'Реестр рисков'!$B$13&amp;" ","")&amp;IF(AND(ABS('Реестр рисков'!$G$14-0.5)&lt;0.001,ABS('Реестр рисков'!$H$14-0.7)&lt;0.001),'Реестр рисков'!$B$14&amp;" ","")&amp;IF(AND(ABS('Реестр рисков'!$G$15-0.5)&lt;0.001,ABS('Реестр рисков'!$H$15-0.7)&lt;0.001),'Реестр рисков'!$B$15&amp;" ","")&amp;IF(AND(ABS('Реестр рисков'!$G$16-0.5)&lt;0.001,ABS('Реестр рисков'!$H$16-0.7)&lt;0.001),'Реестр рисков'!$B$16&amp;" ","")&amp;IF(AND(ABS('Реестр рисков'!$G$17-0.5)&lt;0.001,ABS('Реестр рисков'!$H$17-0.7)&lt;0.001),'Реестр рисков'!$B$17&amp;" ","")&amp;IF(AND(ABS('Реестр рисков'!$G$18-0.5)&lt;0.001,ABS('Реестр рисков'!$H$18-0.7)&lt;0.001),'Реестр рисков'!$B$18&amp;" ","")&amp;IF(AND(ABS('Реестр рисков'!$G$19-0.5)&lt;0.001,ABS('Реестр рисков'!$H$19-0.7)&lt;0.001),'Реестр рисков'!$B$19&amp;" ","")&amp;IF(AND(ABS('Реестр рисков'!$G$20-0.5)&lt;0.001,ABS('Реестр рисков'!$H$20-0.7)&lt;0.001),'Реестр рисков'!$B$20&amp;" ","")&amp;IF(AND(ABS('Реестр рисков'!$G$21-0.5)&lt;0.001,ABS('Реестр рисков'!$H$21-0.7)&lt;0.001),'Реестр рисков'!$B$21&amp;" ","")&amp;IF(AND(ABS('Реестр рисков'!$G$22-0.5)&lt;0.001,ABS('Реестр рисков'!$H$22-0.7)&lt;0.001),'Реестр рисков'!$B$22&amp;" ","")&amp;IF(AND(ABS('Реестр рисков'!$G$23-0.5)&lt;0.001,ABS('Реестр рисков'!$H$23-0.7)&lt;0.001),'Реестр рисков'!$B$23&amp;" ",""))</f>
        <v>R9</v>
      </c>
      <c r="H8" s="27" t="str">
        <f aca="false">TRIM(IF(AND(ABS('Реестр рисков'!$G$5-0.6)&lt;0.001,ABS('Реестр рисков'!$H$5-0.7)&lt;0.001),'Реестр рисков'!$B$5&amp;" ","")&amp;IF(AND(ABS('Реестр рисков'!$G$6-0.6)&lt;0.001,ABS('Реестр рисков'!$H$6-0.7)&lt;0.001),'Реестр рисков'!$B$6&amp;" ","")&amp;IF(AND(ABS('Реестр рисков'!$G$7-0.6)&lt;0.001,ABS('Реестр рисков'!$H$7-0.7)&lt;0.001),'Реестр рисков'!$B$7&amp;" ","")&amp;IF(AND(ABS('Реестр рисков'!$G$8-0.6)&lt;0.001,ABS('Реестр рисков'!$H$8-0.7)&lt;0.001),'Реестр рисков'!$B$8&amp;" ","")&amp;IF(AND(ABS('Реестр рисков'!$G$9-0.6)&lt;0.001,ABS('Реестр рисков'!$H$9-0.7)&lt;0.001),'Реестр рисков'!$B$9&amp;" ","")&amp;IF(AND(ABS('Реестр рисков'!$G$10-0.6)&lt;0.001,ABS('Реестр рисков'!$H$10-0.7)&lt;0.001),'Реестр рисков'!$B$10&amp;" ","")&amp;IF(AND(ABS('Реестр рисков'!$G$11-0.6)&lt;0.001,ABS('Реестр рисков'!$H$11-0.7)&lt;0.001),'Реестр рисков'!$B$11&amp;" ","")&amp;IF(AND(ABS('Реестр рисков'!$G$12-0.6)&lt;0.001,ABS('Реестр рисков'!$H$12-0.7)&lt;0.001),'Реестр рисков'!$B$12&amp;" ","")&amp;IF(AND(ABS('Реестр рисков'!$G$13-0.6)&lt;0.001,ABS('Реестр рисков'!$H$13-0.7)&lt;0.001),'Реестр рисков'!$B$13&amp;" ","")&amp;IF(AND(ABS('Реестр рисков'!$G$14-0.6)&lt;0.001,ABS('Реестр рисков'!$H$14-0.7)&lt;0.001),'Реестр рисков'!$B$14&amp;" ","")&amp;IF(AND(ABS('Реестр рисков'!$G$15-0.6)&lt;0.001,ABS('Реестр рисков'!$H$15-0.7)&lt;0.001),'Реестр рисков'!$B$15&amp;" ","")&amp;IF(AND(ABS('Реестр рисков'!$G$16-0.6)&lt;0.001,ABS('Реестр рисков'!$H$16-0.7)&lt;0.001),'Реестр рисков'!$B$16&amp;" ","")&amp;IF(AND(ABS('Реестр рисков'!$G$17-0.6)&lt;0.001,ABS('Реестр рисков'!$H$17-0.7)&lt;0.001),'Реестр рисков'!$B$17&amp;" ","")&amp;IF(AND(ABS('Реестр рисков'!$G$18-0.6)&lt;0.001,ABS('Реестр рисков'!$H$18-0.7)&lt;0.001),'Реестр рисков'!$B$18&amp;" ","")&amp;IF(AND(ABS('Реестр рисков'!$G$19-0.6)&lt;0.001,ABS('Реестр рисков'!$H$19-0.7)&lt;0.001),'Реестр рисков'!$B$19&amp;" ","")&amp;IF(AND(ABS('Реестр рисков'!$G$20-0.6)&lt;0.001,ABS('Реестр рисков'!$H$20-0.7)&lt;0.001),'Реестр рисков'!$B$20&amp;" ","")&amp;IF(AND(ABS('Реестр рисков'!$G$21-0.6)&lt;0.001,ABS('Реестр рисков'!$H$21-0.7)&lt;0.001),'Реестр рисков'!$B$21&amp;" ","")&amp;IF(AND(ABS('Реестр рисков'!$G$22-0.6)&lt;0.001,ABS('Реестр рисков'!$H$22-0.7)&lt;0.001),'Реестр рисков'!$B$22&amp;" ","")&amp;IF(AND(ABS('Реестр рисков'!$G$23-0.6)&lt;0.001,ABS('Реестр рисков'!$H$23-0.7)&lt;0.001),'Реестр рисков'!$B$23&amp;" ",""))</f>
        <v/>
      </c>
      <c r="I8" s="27" t="str">
        <f aca="false">TRIM(IF(AND(ABS('Реестр рисков'!$G$5-0.7)&lt;0.001,ABS('Реестр рисков'!$H$5-0.7)&lt;0.001),'Реестр рисков'!$B$5&amp;" ","")&amp;IF(AND(ABS('Реестр рисков'!$G$6-0.7)&lt;0.001,ABS('Реестр рисков'!$H$6-0.7)&lt;0.001),'Реестр рисков'!$B$6&amp;" ","")&amp;IF(AND(ABS('Реестр рисков'!$G$7-0.7)&lt;0.001,ABS('Реестр рисков'!$H$7-0.7)&lt;0.001),'Реестр рисков'!$B$7&amp;" ","")&amp;IF(AND(ABS('Реестр рисков'!$G$8-0.7)&lt;0.001,ABS('Реестр рисков'!$H$8-0.7)&lt;0.001),'Реестр рисков'!$B$8&amp;" ","")&amp;IF(AND(ABS('Реестр рисков'!$G$9-0.7)&lt;0.001,ABS('Реестр рисков'!$H$9-0.7)&lt;0.001),'Реестр рисков'!$B$9&amp;" ","")&amp;IF(AND(ABS('Реестр рисков'!$G$10-0.7)&lt;0.001,ABS('Реестр рисков'!$H$10-0.7)&lt;0.001),'Реестр рисков'!$B$10&amp;" ","")&amp;IF(AND(ABS('Реестр рисков'!$G$11-0.7)&lt;0.001,ABS('Реестр рисков'!$H$11-0.7)&lt;0.001),'Реестр рисков'!$B$11&amp;" ","")&amp;IF(AND(ABS('Реестр рисков'!$G$12-0.7)&lt;0.001,ABS('Реестр рисков'!$H$12-0.7)&lt;0.001),'Реестр рисков'!$B$12&amp;" ","")&amp;IF(AND(ABS('Реестр рисков'!$G$13-0.7)&lt;0.001,ABS('Реестр рисков'!$H$13-0.7)&lt;0.001),'Реестр рисков'!$B$13&amp;" ","")&amp;IF(AND(ABS('Реестр рисков'!$G$14-0.7)&lt;0.001,ABS('Реестр рисков'!$H$14-0.7)&lt;0.001),'Реестр рисков'!$B$14&amp;" ","")&amp;IF(AND(ABS('Реестр рисков'!$G$15-0.7)&lt;0.001,ABS('Реестр рисков'!$H$15-0.7)&lt;0.001),'Реестр рисков'!$B$15&amp;" ","")&amp;IF(AND(ABS('Реестр рисков'!$G$16-0.7)&lt;0.001,ABS('Реестр рисков'!$H$16-0.7)&lt;0.001),'Реестр рисков'!$B$16&amp;" ","")&amp;IF(AND(ABS('Реестр рисков'!$G$17-0.7)&lt;0.001,ABS('Реестр рисков'!$H$17-0.7)&lt;0.001),'Реестр рисков'!$B$17&amp;" ","")&amp;IF(AND(ABS('Реестр рисков'!$G$18-0.7)&lt;0.001,ABS('Реестр рисков'!$H$18-0.7)&lt;0.001),'Реестр рисков'!$B$18&amp;" ","")&amp;IF(AND(ABS('Реестр рисков'!$G$19-0.7)&lt;0.001,ABS('Реестр рисков'!$H$19-0.7)&lt;0.001),'Реестр рисков'!$B$19&amp;" ","")&amp;IF(AND(ABS('Реестр рисков'!$G$20-0.7)&lt;0.001,ABS('Реестр рисков'!$H$20-0.7)&lt;0.001),'Реестр рисков'!$B$20&amp;" ","")&amp;IF(AND(ABS('Реестр рисков'!$G$21-0.7)&lt;0.001,ABS('Реестр рисков'!$H$21-0.7)&lt;0.001),'Реестр рисков'!$B$21&amp;" ","")&amp;IF(AND(ABS('Реестр рисков'!$G$22-0.7)&lt;0.001,ABS('Реестр рисков'!$H$22-0.7)&lt;0.001),'Реестр рисков'!$B$22&amp;" ","")&amp;IF(AND(ABS('Реестр рисков'!$G$23-0.7)&lt;0.001,ABS('Реестр рисков'!$H$23-0.7)&lt;0.001),'Реестр рисков'!$B$23&amp;" ",""))</f>
        <v/>
      </c>
      <c r="J8" s="28" t="str">
        <f aca="false">TRIM(IF(AND(ABS('Реестр рисков'!$G$5-0.8)&lt;0.001,ABS('Реестр рисков'!$H$5-0.7)&lt;0.001),'Реестр рисков'!$B$5&amp;" ","")&amp;IF(AND(ABS('Реестр рисков'!$G$6-0.8)&lt;0.001,ABS('Реестр рисков'!$H$6-0.7)&lt;0.001),'Реестр рисков'!$B$6&amp;" ","")&amp;IF(AND(ABS('Реестр рисков'!$G$7-0.8)&lt;0.001,ABS('Реестр рисков'!$H$7-0.7)&lt;0.001),'Реестр рисков'!$B$7&amp;" ","")&amp;IF(AND(ABS('Реестр рисков'!$G$8-0.8)&lt;0.001,ABS('Реестр рисков'!$H$8-0.7)&lt;0.001),'Реестр рисков'!$B$8&amp;" ","")&amp;IF(AND(ABS('Реестр рисков'!$G$9-0.8)&lt;0.001,ABS('Реестр рисков'!$H$9-0.7)&lt;0.001),'Реестр рисков'!$B$9&amp;" ","")&amp;IF(AND(ABS('Реестр рисков'!$G$10-0.8)&lt;0.001,ABS('Реестр рисков'!$H$10-0.7)&lt;0.001),'Реестр рисков'!$B$10&amp;" ","")&amp;IF(AND(ABS('Реестр рисков'!$G$11-0.8)&lt;0.001,ABS('Реестр рисков'!$H$11-0.7)&lt;0.001),'Реестр рисков'!$B$11&amp;" ","")&amp;IF(AND(ABS('Реестр рисков'!$G$12-0.8)&lt;0.001,ABS('Реестр рисков'!$H$12-0.7)&lt;0.001),'Реестр рисков'!$B$12&amp;" ","")&amp;IF(AND(ABS('Реестр рисков'!$G$13-0.8)&lt;0.001,ABS('Реестр рисков'!$H$13-0.7)&lt;0.001),'Реестр рисков'!$B$13&amp;" ","")&amp;IF(AND(ABS('Реестр рисков'!$G$14-0.8)&lt;0.001,ABS('Реестр рисков'!$H$14-0.7)&lt;0.001),'Реестр рисков'!$B$14&amp;" ","")&amp;IF(AND(ABS('Реестр рисков'!$G$15-0.8)&lt;0.001,ABS('Реестр рисков'!$H$15-0.7)&lt;0.001),'Реестр рисков'!$B$15&amp;" ","")&amp;IF(AND(ABS('Реестр рисков'!$G$16-0.8)&lt;0.001,ABS('Реестр рисков'!$H$16-0.7)&lt;0.001),'Реестр рисков'!$B$16&amp;" ","")&amp;IF(AND(ABS('Реестр рисков'!$G$17-0.8)&lt;0.001,ABS('Реестр рисков'!$H$17-0.7)&lt;0.001),'Реестр рисков'!$B$17&amp;" ","")&amp;IF(AND(ABS('Реестр рисков'!$G$18-0.8)&lt;0.001,ABS('Реестр рисков'!$H$18-0.7)&lt;0.001),'Реестр рисков'!$B$18&amp;" ","")&amp;IF(AND(ABS('Реестр рисков'!$G$19-0.8)&lt;0.001,ABS('Реестр рисков'!$H$19-0.7)&lt;0.001),'Реестр рисков'!$B$19&amp;" ","")&amp;IF(AND(ABS('Реестр рисков'!$G$20-0.8)&lt;0.001,ABS('Реестр рисков'!$H$20-0.7)&lt;0.001),'Реестр рисков'!$B$20&amp;" ","")&amp;IF(AND(ABS('Реестр рисков'!$G$21-0.8)&lt;0.001,ABS('Реестр рисков'!$H$21-0.7)&lt;0.001),'Реестр рисков'!$B$21&amp;" ","")&amp;IF(AND(ABS('Реестр рисков'!$G$22-0.8)&lt;0.001,ABS('Реестр рисков'!$H$22-0.7)&lt;0.001),'Реестр рисков'!$B$22&amp;" ","")&amp;IF(AND(ABS('Реестр рисков'!$G$23-0.8)&lt;0.001,ABS('Реестр рисков'!$H$23-0.7)&lt;0.001),'Реестр рисков'!$B$23&amp;" ",""))</f>
        <v>R4</v>
      </c>
      <c r="K8" s="28" t="str">
        <f aca="false">TRIM(IF(AND(ABS('Реестр рисков'!$G$5-0.9)&lt;0.001,ABS('Реестр рисков'!$H$5-0.7)&lt;0.001),'Реестр рисков'!$B$5&amp;" ","")&amp;IF(AND(ABS('Реестр рисков'!$G$6-0.9)&lt;0.001,ABS('Реестр рисков'!$H$6-0.7)&lt;0.001),'Реестр рисков'!$B$6&amp;" ","")&amp;IF(AND(ABS('Реестр рисков'!$G$7-0.9)&lt;0.001,ABS('Реестр рисков'!$H$7-0.7)&lt;0.001),'Реестр рисков'!$B$7&amp;" ","")&amp;IF(AND(ABS('Реестр рисков'!$G$8-0.9)&lt;0.001,ABS('Реестр рисков'!$H$8-0.7)&lt;0.001),'Реестр рисков'!$B$8&amp;" ","")&amp;IF(AND(ABS('Реестр рисков'!$G$9-0.9)&lt;0.001,ABS('Реестр рисков'!$H$9-0.7)&lt;0.001),'Реестр рисков'!$B$9&amp;" ","")&amp;IF(AND(ABS('Реестр рисков'!$G$10-0.9)&lt;0.001,ABS('Реестр рисков'!$H$10-0.7)&lt;0.001),'Реестр рисков'!$B$10&amp;" ","")&amp;IF(AND(ABS('Реестр рисков'!$G$11-0.9)&lt;0.001,ABS('Реестр рисков'!$H$11-0.7)&lt;0.001),'Реестр рисков'!$B$11&amp;" ","")&amp;IF(AND(ABS('Реестр рисков'!$G$12-0.9)&lt;0.001,ABS('Реестр рисков'!$H$12-0.7)&lt;0.001),'Реестр рисков'!$B$12&amp;" ","")&amp;IF(AND(ABS('Реестр рисков'!$G$13-0.9)&lt;0.001,ABS('Реестр рисков'!$H$13-0.7)&lt;0.001),'Реестр рисков'!$B$13&amp;" ","")&amp;IF(AND(ABS('Реестр рисков'!$G$14-0.9)&lt;0.001,ABS('Реестр рисков'!$H$14-0.7)&lt;0.001),'Реестр рисков'!$B$14&amp;" ","")&amp;IF(AND(ABS('Реестр рисков'!$G$15-0.9)&lt;0.001,ABS('Реестр рисков'!$H$15-0.7)&lt;0.001),'Реестр рисков'!$B$15&amp;" ","")&amp;IF(AND(ABS('Реестр рисков'!$G$16-0.9)&lt;0.001,ABS('Реестр рисков'!$H$16-0.7)&lt;0.001),'Реестр рисков'!$B$16&amp;" ","")&amp;IF(AND(ABS('Реестр рисков'!$G$17-0.9)&lt;0.001,ABS('Реестр рисков'!$H$17-0.7)&lt;0.001),'Реестр рисков'!$B$17&amp;" ","")&amp;IF(AND(ABS('Реестр рисков'!$G$18-0.9)&lt;0.001,ABS('Реестр рисков'!$H$18-0.7)&lt;0.001),'Реестр рисков'!$B$18&amp;" ","")&amp;IF(AND(ABS('Реестр рисков'!$G$19-0.9)&lt;0.001,ABS('Реестр рисков'!$H$19-0.7)&lt;0.001),'Реестр рисков'!$B$19&amp;" ","")&amp;IF(AND(ABS('Реестр рисков'!$G$20-0.9)&lt;0.001,ABS('Реестр рисков'!$H$20-0.7)&lt;0.001),'Реестр рисков'!$B$20&amp;" ","")&amp;IF(AND(ABS('Реестр рисков'!$G$21-0.9)&lt;0.001,ABS('Реестр рисков'!$H$21-0.7)&lt;0.001),'Реестр рисков'!$B$21&amp;" ","")&amp;IF(AND(ABS('Реестр рисков'!$G$22-0.9)&lt;0.001,ABS('Реестр рисков'!$H$22-0.7)&lt;0.001),'Реестр рисков'!$B$22&amp;" ","")&amp;IF(AND(ABS('Реестр рисков'!$G$23-0.9)&lt;0.001,ABS('Реестр рисков'!$H$23-0.7)&lt;0.001),'Реестр рисков'!$B$23&amp;" ",""))</f>
        <v/>
      </c>
      <c r="L8" s="28" t="str">
        <f aca="false">TRIM(IF(AND(ABS('Реестр рисков'!$G$5-1)&lt;0.001,ABS('Реестр рисков'!$H$5-0.7)&lt;0.001),'Реестр рисков'!$B$5&amp;" ","")&amp;IF(AND(ABS('Реестр рисков'!$G$6-1)&lt;0.001,ABS('Реестр рисков'!$H$6-0.7)&lt;0.001),'Реестр рисков'!$B$6&amp;" ","")&amp;IF(AND(ABS('Реестр рисков'!$G$7-1)&lt;0.001,ABS('Реестр рисков'!$H$7-0.7)&lt;0.001),'Реестр рисков'!$B$7&amp;" ","")&amp;IF(AND(ABS('Реестр рисков'!$G$8-1)&lt;0.001,ABS('Реестр рисков'!$H$8-0.7)&lt;0.001),'Реестр рисков'!$B$8&amp;" ","")&amp;IF(AND(ABS('Реестр рисков'!$G$9-1)&lt;0.001,ABS('Реестр рисков'!$H$9-0.7)&lt;0.001),'Реестр рисков'!$B$9&amp;" ","")&amp;IF(AND(ABS('Реестр рисков'!$G$10-1)&lt;0.001,ABS('Реестр рисков'!$H$10-0.7)&lt;0.001),'Реестр рисков'!$B$10&amp;" ","")&amp;IF(AND(ABS('Реестр рисков'!$G$11-1)&lt;0.001,ABS('Реестр рисков'!$H$11-0.7)&lt;0.001),'Реестр рисков'!$B$11&amp;" ","")&amp;IF(AND(ABS('Реестр рисков'!$G$12-1)&lt;0.001,ABS('Реестр рисков'!$H$12-0.7)&lt;0.001),'Реестр рисков'!$B$12&amp;" ","")&amp;IF(AND(ABS('Реестр рисков'!$G$13-1)&lt;0.001,ABS('Реестр рисков'!$H$13-0.7)&lt;0.001),'Реестр рисков'!$B$13&amp;" ","")&amp;IF(AND(ABS('Реестр рисков'!$G$14-1)&lt;0.001,ABS('Реестр рисков'!$H$14-0.7)&lt;0.001),'Реестр рисков'!$B$14&amp;" ","")&amp;IF(AND(ABS('Реестр рисков'!$G$15-1)&lt;0.001,ABS('Реестр рисков'!$H$15-0.7)&lt;0.001),'Реестр рисков'!$B$15&amp;" ","")&amp;IF(AND(ABS('Реестр рисков'!$G$16-1)&lt;0.001,ABS('Реестр рисков'!$H$16-0.7)&lt;0.001),'Реестр рисков'!$B$16&amp;" ","")&amp;IF(AND(ABS('Реестр рисков'!$G$17-1)&lt;0.001,ABS('Реестр рисков'!$H$17-0.7)&lt;0.001),'Реестр рисков'!$B$17&amp;" ","")&amp;IF(AND(ABS('Реестр рисков'!$G$18-1)&lt;0.001,ABS('Реестр рисков'!$H$18-0.7)&lt;0.001),'Реестр рисков'!$B$18&amp;" ","")&amp;IF(AND(ABS('Реестр рисков'!$G$19-1)&lt;0.001,ABS('Реестр рисков'!$H$19-0.7)&lt;0.001),'Реестр рисков'!$B$19&amp;" ","")&amp;IF(AND(ABS('Реестр рисков'!$G$20-1)&lt;0.001,ABS('Реестр рисков'!$H$20-0.7)&lt;0.001),'Реестр рисков'!$B$20&amp;" ","")&amp;IF(AND(ABS('Реестр рисков'!$G$21-1)&lt;0.001,ABS('Реестр рисков'!$H$21-0.7)&lt;0.001),'Реестр рисков'!$B$21&amp;" ","")&amp;IF(AND(ABS('Реестр рисков'!$G$22-1)&lt;0.001,ABS('Реестр рисков'!$H$22-0.7)&lt;0.001),'Реестр рисков'!$B$22&amp;" ","")&amp;IF(AND(ABS('Реестр рисков'!$G$23-1)&lt;0.001,ABS('Реестр рисков'!$H$23-0.7)&lt;0.001),'Реестр рисков'!$B$23&amp;" ",""))</f>
        <v/>
      </c>
    </row>
    <row r="9" customFormat="false" ht="30" hidden="false" customHeight="true" outlineLevel="0" collapsed="false">
      <c r="A9" s="24"/>
      <c r="B9" s="25" t="n">
        <v>0.6</v>
      </c>
      <c r="C9" s="26" t="str">
        <f aca="false">TRIM(IF(AND(ABS('Реестр рисков'!$G$5-0.1)&lt;0.001,ABS('Реестр рисков'!$H$5-0.6)&lt;0.001),'Реестр рисков'!$B$5&amp;" ","")&amp;IF(AND(ABS('Реестр рисков'!$G$6-0.1)&lt;0.001,ABS('Реестр рисков'!$H$6-0.6)&lt;0.001),'Реестр рисков'!$B$6&amp;" ","")&amp;IF(AND(ABS('Реестр рисков'!$G$7-0.1)&lt;0.001,ABS('Реестр рисков'!$H$7-0.6)&lt;0.001),'Реестр рисков'!$B$7&amp;" ","")&amp;IF(AND(ABS('Реестр рисков'!$G$8-0.1)&lt;0.001,ABS('Реестр рисков'!$H$8-0.6)&lt;0.001),'Реестр рисков'!$B$8&amp;" ","")&amp;IF(AND(ABS('Реестр рисков'!$G$9-0.1)&lt;0.001,ABS('Реестр рисков'!$H$9-0.6)&lt;0.001),'Реестр рисков'!$B$9&amp;" ","")&amp;IF(AND(ABS('Реестр рисков'!$G$10-0.1)&lt;0.001,ABS('Реестр рисков'!$H$10-0.6)&lt;0.001),'Реестр рисков'!$B$10&amp;" ","")&amp;IF(AND(ABS('Реестр рисков'!$G$11-0.1)&lt;0.001,ABS('Реестр рисков'!$H$11-0.6)&lt;0.001),'Реестр рисков'!$B$11&amp;" ","")&amp;IF(AND(ABS('Реестр рисков'!$G$12-0.1)&lt;0.001,ABS('Реестр рисков'!$H$12-0.6)&lt;0.001),'Реестр рисков'!$B$12&amp;" ","")&amp;IF(AND(ABS('Реестр рисков'!$G$13-0.1)&lt;0.001,ABS('Реестр рисков'!$H$13-0.6)&lt;0.001),'Реестр рисков'!$B$13&amp;" ","")&amp;IF(AND(ABS('Реестр рисков'!$G$14-0.1)&lt;0.001,ABS('Реестр рисков'!$H$14-0.6)&lt;0.001),'Реестр рисков'!$B$14&amp;" ","")&amp;IF(AND(ABS('Реестр рисков'!$G$15-0.1)&lt;0.001,ABS('Реестр рисков'!$H$15-0.6)&lt;0.001),'Реестр рисков'!$B$15&amp;" ","")&amp;IF(AND(ABS('Реестр рисков'!$G$16-0.1)&lt;0.001,ABS('Реестр рисков'!$H$16-0.6)&lt;0.001),'Реестр рисков'!$B$16&amp;" ","")&amp;IF(AND(ABS('Реестр рисков'!$G$17-0.1)&lt;0.001,ABS('Реестр рисков'!$H$17-0.6)&lt;0.001),'Реестр рисков'!$B$17&amp;" ","")&amp;IF(AND(ABS('Реестр рисков'!$G$18-0.1)&lt;0.001,ABS('Реестр рисков'!$H$18-0.6)&lt;0.001),'Реестр рисков'!$B$18&amp;" ","")&amp;IF(AND(ABS('Реестр рисков'!$G$19-0.1)&lt;0.001,ABS('Реестр рисков'!$H$19-0.6)&lt;0.001),'Реестр рисков'!$B$19&amp;" ","")&amp;IF(AND(ABS('Реестр рисков'!$G$20-0.1)&lt;0.001,ABS('Реестр рисков'!$H$20-0.6)&lt;0.001),'Реестр рисков'!$B$20&amp;" ","")&amp;IF(AND(ABS('Реестр рисков'!$G$21-0.1)&lt;0.001,ABS('Реестр рисков'!$H$21-0.6)&lt;0.001),'Реестр рисков'!$B$21&amp;" ","")&amp;IF(AND(ABS('Реестр рисков'!$G$22-0.1)&lt;0.001,ABS('Реестр рисков'!$H$22-0.6)&lt;0.001),'Реестр рисков'!$B$22&amp;" ","")&amp;IF(AND(ABS('Реестр рисков'!$G$23-0.1)&lt;0.001,ABS('Реестр рисков'!$H$23-0.6)&lt;0.001),'Реестр рисков'!$B$23&amp;" ",""))</f>
        <v/>
      </c>
      <c r="D9" s="26" t="str">
        <f aca="false">TRIM(IF(AND(ABS('Реестр рисков'!$G$5-0.2)&lt;0.001,ABS('Реестр рисков'!$H$5-0.6)&lt;0.001),'Реестр рисков'!$B$5&amp;" ","")&amp;IF(AND(ABS('Реестр рисков'!$G$6-0.2)&lt;0.001,ABS('Реестр рисков'!$H$6-0.6)&lt;0.001),'Реестр рисков'!$B$6&amp;" ","")&amp;IF(AND(ABS('Реестр рисков'!$G$7-0.2)&lt;0.001,ABS('Реестр рисков'!$H$7-0.6)&lt;0.001),'Реестр рисков'!$B$7&amp;" ","")&amp;IF(AND(ABS('Реестр рисков'!$G$8-0.2)&lt;0.001,ABS('Реестр рисков'!$H$8-0.6)&lt;0.001),'Реестр рисков'!$B$8&amp;" ","")&amp;IF(AND(ABS('Реестр рисков'!$G$9-0.2)&lt;0.001,ABS('Реестр рисков'!$H$9-0.6)&lt;0.001),'Реестр рисков'!$B$9&amp;" ","")&amp;IF(AND(ABS('Реестр рисков'!$G$10-0.2)&lt;0.001,ABS('Реестр рисков'!$H$10-0.6)&lt;0.001),'Реестр рисков'!$B$10&amp;" ","")&amp;IF(AND(ABS('Реестр рисков'!$G$11-0.2)&lt;0.001,ABS('Реестр рисков'!$H$11-0.6)&lt;0.001),'Реестр рисков'!$B$11&amp;" ","")&amp;IF(AND(ABS('Реестр рисков'!$G$12-0.2)&lt;0.001,ABS('Реестр рисков'!$H$12-0.6)&lt;0.001),'Реестр рисков'!$B$12&amp;" ","")&amp;IF(AND(ABS('Реестр рисков'!$G$13-0.2)&lt;0.001,ABS('Реестр рисков'!$H$13-0.6)&lt;0.001),'Реестр рисков'!$B$13&amp;" ","")&amp;IF(AND(ABS('Реестр рисков'!$G$14-0.2)&lt;0.001,ABS('Реестр рисков'!$H$14-0.6)&lt;0.001),'Реестр рисков'!$B$14&amp;" ","")&amp;IF(AND(ABS('Реестр рисков'!$G$15-0.2)&lt;0.001,ABS('Реестр рисков'!$H$15-0.6)&lt;0.001),'Реестр рисков'!$B$15&amp;" ","")&amp;IF(AND(ABS('Реестр рисков'!$G$16-0.2)&lt;0.001,ABS('Реестр рисков'!$H$16-0.6)&lt;0.001),'Реестр рисков'!$B$16&amp;" ","")&amp;IF(AND(ABS('Реестр рисков'!$G$17-0.2)&lt;0.001,ABS('Реестр рисков'!$H$17-0.6)&lt;0.001),'Реестр рисков'!$B$17&amp;" ","")&amp;IF(AND(ABS('Реестр рисков'!$G$18-0.2)&lt;0.001,ABS('Реестр рисков'!$H$18-0.6)&lt;0.001),'Реестр рисков'!$B$18&amp;" ","")&amp;IF(AND(ABS('Реестр рисков'!$G$19-0.2)&lt;0.001,ABS('Реестр рисков'!$H$19-0.6)&lt;0.001),'Реестр рисков'!$B$19&amp;" ","")&amp;IF(AND(ABS('Реестр рисков'!$G$20-0.2)&lt;0.001,ABS('Реестр рисков'!$H$20-0.6)&lt;0.001),'Реестр рисков'!$B$20&amp;" ","")&amp;IF(AND(ABS('Реестр рисков'!$G$21-0.2)&lt;0.001,ABS('Реестр рисков'!$H$21-0.6)&lt;0.001),'Реестр рисков'!$B$21&amp;" ","")&amp;IF(AND(ABS('Реестр рисков'!$G$22-0.2)&lt;0.001,ABS('Реестр рисков'!$H$22-0.6)&lt;0.001),'Реестр рисков'!$B$22&amp;" ","")&amp;IF(AND(ABS('Реестр рисков'!$G$23-0.2)&lt;0.001,ABS('Реестр рисков'!$H$23-0.6)&lt;0.001),'Реестр рисков'!$B$23&amp;" ",""))</f>
        <v>R17</v>
      </c>
      <c r="E9" s="27" t="str">
        <f aca="false">TRIM(IF(AND(ABS('Реестр рисков'!$G$5-0.3)&lt;0.001,ABS('Реестр рисков'!$H$5-0.6)&lt;0.001),'Реестр рисков'!$B$5&amp;" ","")&amp;IF(AND(ABS('Реестр рисков'!$G$6-0.3)&lt;0.001,ABS('Реестр рисков'!$H$6-0.6)&lt;0.001),'Реестр рисков'!$B$6&amp;" ","")&amp;IF(AND(ABS('Реестр рисков'!$G$7-0.3)&lt;0.001,ABS('Реестр рисков'!$H$7-0.6)&lt;0.001),'Реестр рисков'!$B$7&amp;" ","")&amp;IF(AND(ABS('Реестр рисков'!$G$8-0.3)&lt;0.001,ABS('Реестр рисков'!$H$8-0.6)&lt;0.001),'Реестр рисков'!$B$8&amp;" ","")&amp;IF(AND(ABS('Реестр рисков'!$G$9-0.3)&lt;0.001,ABS('Реестр рисков'!$H$9-0.6)&lt;0.001),'Реестр рисков'!$B$9&amp;" ","")&amp;IF(AND(ABS('Реестр рисков'!$G$10-0.3)&lt;0.001,ABS('Реестр рисков'!$H$10-0.6)&lt;0.001),'Реестр рисков'!$B$10&amp;" ","")&amp;IF(AND(ABS('Реестр рисков'!$G$11-0.3)&lt;0.001,ABS('Реестр рисков'!$H$11-0.6)&lt;0.001),'Реестр рисков'!$B$11&amp;" ","")&amp;IF(AND(ABS('Реестр рисков'!$G$12-0.3)&lt;0.001,ABS('Реестр рисков'!$H$12-0.6)&lt;0.001),'Реестр рисков'!$B$12&amp;" ","")&amp;IF(AND(ABS('Реестр рисков'!$G$13-0.3)&lt;0.001,ABS('Реестр рисков'!$H$13-0.6)&lt;0.001),'Реестр рисков'!$B$13&amp;" ","")&amp;IF(AND(ABS('Реестр рисков'!$G$14-0.3)&lt;0.001,ABS('Реестр рисков'!$H$14-0.6)&lt;0.001),'Реестр рисков'!$B$14&amp;" ","")&amp;IF(AND(ABS('Реестр рисков'!$G$15-0.3)&lt;0.001,ABS('Реестр рисков'!$H$15-0.6)&lt;0.001),'Реестр рисков'!$B$15&amp;" ","")&amp;IF(AND(ABS('Реестр рисков'!$G$16-0.3)&lt;0.001,ABS('Реестр рисков'!$H$16-0.6)&lt;0.001),'Реестр рисков'!$B$16&amp;" ","")&amp;IF(AND(ABS('Реестр рисков'!$G$17-0.3)&lt;0.001,ABS('Реестр рисков'!$H$17-0.6)&lt;0.001),'Реестр рисков'!$B$17&amp;" ","")&amp;IF(AND(ABS('Реестр рисков'!$G$18-0.3)&lt;0.001,ABS('Реестр рисков'!$H$18-0.6)&lt;0.001),'Реестр рисков'!$B$18&amp;" ","")&amp;IF(AND(ABS('Реестр рисков'!$G$19-0.3)&lt;0.001,ABS('Реестр рисков'!$H$19-0.6)&lt;0.001),'Реестр рисков'!$B$19&amp;" ","")&amp;IF(AND(ABS('Реестр рисков'!$G$20-0.3)&lt;0.001,ABS('Реестр рисков'!$H$20-0.6)&lt;0.001),'Реестр рисков'!$B$20&amp;" ","")&amp;IF(AND(ABS('Реестр рисков'!$G$21-0.3)&lt;0.001,ABS('Реестр рисков'!$H$21-0.6)&lt;0.001),'Реестр рисков'!$B$21&amp;" ","")&amp;IF(AND(ABS('Реестр рисков'!$G$22-0.3)&lt;0.001,ABS('Реестр рисков'!$H$22-0.6)&lt;0.001),'Реестр рисков'!$B$22&amp;" ","")&amp;IF(AND(ABS('Реестр рисков'!$G$23-0.3)&lt;0.001,ABS('Реестр рисков'!$H$23-0.6)&lt;0.001),'Реестр рисков'!$B$23&amp;" ",""))</f>
        <v/>
      </c>
      <c r="F9" s="27" t="str">
        <f aca="false">TRIM(IF(AND(ABS('Реестр рисков'!$G$5-0.4)&lt;0.001,ABS('Реестр рисков'!$H$5-0.6)&lt;0.001),'Реестр рисков'!$B$5&amp;" ","")&amp;IF(AND(ABS('Реестр рисков'!$G$6-0.4)&lt;0.001,ABS('Реестр рисков'!$H$6-0.6)&lt;0.001),'Реестр рисков'!$B$6&amp;" ","")&amp;IF(AND(ABS('Реестр рисков'!$G$7-0.4)&lt;0.001,ABS('Реестр рисков'!$H$7-0.6)&lt;0.001),'Реестр рисков'!$B$7&amp;" ","")&amp;IF(AND(ABS('Реестр рисков'!$G$8-0.4)&lt;0.001,ABS('Реестр рисков'!$H$8-0.6)&lt;0.001),'Реестр рисков'!$B$8&amp;" ","")&amp;IF(AND(ABS('Реестр рисков'!$G$9-0.4)&lt;0.001,ABS('Реестр рисков'!$H$9-0.6)&lt;0.001),'Реестр рисков'!$B$9&amp;" ","")&amp;IF(AND(ABS('Реестр рисков'!$G$10-0.4)&lt;0.001,ABS('Реестр рисков'!$H$10-0.6)&lt;0.001),'Реестр рисков'!$B$10&amp;" ","")&amp;IF(AND(ABS('Реестр рисков'!$G$11-0.4)&lt;0.001,ABS('Реестр рисков'!$H$11-0.6)&lt;0.001),'Реестр рисков'!$B$11&amp;" ","")&amp;IF(AND(ABS('Реестр рисков'!$G$12-0.4)&lt;0.001,ABS('Реестр рисков'!$H$12-0.6)&lt;0.001),'Реестр рисков'!$B$12&amp;" ","")&amp;IF(AND(ABS('Реестр рисков'!$G$13-0.4)&lt;0.001,ABS('Реестр рисков'!$H$13-0.6)&lt;0.001),'Реестр рисков'!$B$13&amp;" ","")&amp;IF(AND(ABS('Реестр рисков'!$G$14-0.4)&lt;0.001,ABS('Реестр рисков'!$H$14-0.6)&lt;0.001),'Реестр рисков'!$B$14&amp;" ","")&amp;IF(AND(ABS('Реестр рисков'!$G$15-0.4)&lt;0.001,ABS('Реестр рисков'!$H$15-0.6)&lt;0.001),'Реестр рисков'!$B$15&amp;" ","")&amp;IF(AND(ABS('Реестр рисков'!$G$16-0.4)&lt;0.001,ABS('Реестр рисков'!$H$16-0.6)&lt;0.001),'Реестр рисков'!$B$16&amp;" ","")&amp;IF(AND(ABS('Реестр рисков'!$G$17-0.4)&lt;0.001,ABS('Реестр рисков'!$H$17-0.6)&lt;0.001),'Реестр рисков'!$B$17&amp;" ","")&amp;IF(AND(ABS('Реестр рисков'!$G$18-0.4)&lt;0.001,ABS('Реестр рисков'!$H$18-0.6)&lt;0.001),'Реестр рисков'!$B$18&amp;" ","")&amp;IF(AND(ABS('Реестр рисков'!$G$19-0.4)&lt;0.001,ABS('Реестр рисков'!$H$19-0.6)&lt;0.001),'Реестр рисков'!$B$19&amp;" ","")&amp;IF(AND(ABS('Реестр рисков'!$G$20-0.4)&lt;0.001,ABS('Реестр рисков'!$H$20-0.6)&lt;0.001),'Реестр рисков'!$B$20&amp;" ","")&amp;IF(AND(ABS('Реестр рисков'!$G$21-0.4)&lt;0.001,ABS('Реестр рисков'!$H$21-0.6)&lt;0.001),'Реестр рисков'!$B$21&amp;" ","")&amp;IF(AND(ABS('Реестр рисков'!$G$22-0.4)&lt;0.001,ABS('Реестр рисков'!$H$22-0.6)&lt;0.001),'Реестр рисков'!$B$22&amp;" ","")&amp;IF(AND(ABS('Реестр рисков'!$G$23-0.4)&lt;0.001,ABS('Реестр рисков'!$H$23-0.6)&lt;0.001),'Реестр рисков'!$B$23&amp;" ",""))</f>
        <v>R10</v>
      </c>
      <c r="G9" s="27" t="str">
        <f aca="false">TRIM(IF(AND(ABS('Реестр рисков'!$G$5-0.5)&lt;0.001,ABS('Реестр рисков'!$H$5-0.6)&lt;0.001),'Реестр рисков'!$B$5&amp;" ","")&amp;IF(AND(ABS('Реестр рисков'!$G$6-0.5)&lt;0.001,ABS('Реестр рисков'!$H$6-0.6)&lt;0.001),'Реестр рисков'!$B$6&amp;" ","")&amp;IF(AND(ABS('Реестр рисков'!$G$7-0.5)&lt;0.001,ABS('Реестр рисков'!$H$7-0.6)&lt;0.001),'Реестр рисков'!$B$7&amp;" ","")&amp;IF(AND(ABS('Реестр рисков'!$G$8-0.5)&lt;0.001,ABS('Реестр рисков'!$H$8-0.6)&lt;0.001),'Реестр рисков'!$B$8&amp;" ","")&amp;IF(AND(ABS('Реестр рисков'!$G$9-0.5)&lt;0.001,ABS('Реестр рисков'!$H$9-0.6)&lt;0.001),'Реестр рисков'!$B$9&amp;" ","")&amp;IF(AND(ABS('Реестр рисков'!$G$10-0.5)&lt;0.001,ABS('Реестр рисков'!$H$10-0.6)&lt;0.001),'Реестр рисков'!$B$10&amp;" ","")&amp;IF(AND(ABS('Реестр рисков'!$G$11-0.5)&lt;0.001,ABS('Реестр рисков'!$H$11-0.6)&lt;0.001),'Реестр рисков'!$B$11&amp;" ","")&amp;IF(AND(ABS('Реестр рисков'!$G$12-0.5)&lt;0.001,ABS('Реестр рисков'!$H$12-0.6)&lt;0.001),'Реестр рисков'!$B$12&amp;" ","")&amp;IF(AND(ABS('Реестр рисков'!$G$13-0.5)&lt;0.001,ABS('Реестр рисков'!$H$13-0.6)&lt;0.001),'Реестр рисков'!$B$13&amp;" ","")&amp;IF(AND(ABS('Реестр рисков'!$G$14-0.5)&lt;0.001,ABS('Реестр рисков'!$H$14-0.6)&lt;0.001),'Реестр рисков'!$B$14&amp;" ","")&amp;IF(AND(ABS('Реестр рисков'!$G$15-0.5)&lt;0.001,ABS('Реестр рисков'!$H$15-0.6)&lt;0.001),'Реестр рисков'!$B$15&amp;" ","")&amp;IF(AND(ABS('Реестр рисков'!$G$16-0.5)&lt;0.001,ABS('Реестр рисков'!$H$16-0.6)&lt;0.001),'Реестр рисков'!$B$16&amp;" ","")&amp;IF(AND(ABS('Реестр рисков'!$G$17-0.5)&lt;0.001,ABS('Реестр рисков'!$H$17-0.6)&lt;0.001),'Реестр рисков'!$B$17&amp;" ","")&amp;IF(AND(ABS('Реестр рисков'!$G$18-0.5)&lt;0.001,ABS('Реестр рисков'!$H$18-0.6)&lt;0.001),'Реестр рисков'!$B$18&amp;" ","")&amp;IF(AND(ABS('Реестр рисков'!$G$19-0.5)&lt;0.001,ABS('Реестр рисков'!$H$19-0.6)&lt;0.001),'Реестр рисков'!$B$19&amp;" ","")&amp;IF(AND(ABS('Реестр рисков'!$G$20-0.5)&lt;0.001,ABS('Реестр рисков'!$H$20-0.6)&lt;0.001),'Реестр рисков'!$B$20&amp;" ","")&amp;IF(AND(ABS('Реестр рисков'!$G$21-0.5)&lt;0.001,ABS('Реестр рисков'!$H$21-0.6)&lt;0.001),'Реестр рисков'!$B$21&amp;" ","")&amp;IF(AND(ABS('Реестр рисков'!$G$22-0.5)&lt;0.001,ABS('Реестр рисков'!$H$22-0.6)&lt;0.001),'Реестр рисков'!$B$22&amp;" ","")&amp;IF(AND(ABS('Реестр рисков'!$G$23-0.5)&lt;0.001,ABS('Реестр рисков'!$H$23-0.6)&lt;0.001),'Реестр рисков'!$B$23&amp;" ",""))</f>
        <v>R8</v>
      </c>
      <c r="H9" s="27" t="str">
        <f aca="false">TRIM(IF(AND(ABS('Реестр рисков'!$G$5-0.6)&lt;0.001,ABS('Реестр рисков'!$H$5-0.6)&lt;0.001),'Реестр рисков'!$B$5&amp;" ","")&amp;IF(AND(ABS('Реестр рисков'!$G$6-0.6)&lt;0.001,ABS('Реестр рисков'!$H$6-0.6)&lt;0.001),'Реестр рисков'!$B$6&amp;" ","")&amp;IF(AND(ABS('Реестр рисков'!$G$7-0.6)&lt;0.001,ABS('Реестр рисков'!$H$7-0.6)&lt;0.001),'Реестр рисков'!$B$7&amp;" ","")&amp;IF(AND(ABS('Реестр рисков'!$G$8-0.6)&lt;0.001,ABS('Реестр рисков'!$H$8-0.6)&lt;0.001),'Реестр рисков'!$B$8&amp;" ","")&amp;IF(AND(ABS('Реестр рисков'!$G$9-0.6)&lt;0.001,ABS('Реестр рисков'!$H$9-0.6)&lt;0.001),'Реестр рисков'!$B$9&amp;" ","")&amp;IF(AND(ABS('Реестр рисков'!$G$10-0.6)&lt;0.001,ABS('Реестр рисков'!$H$10-0.6)&lt;0.001),'Реестр рисков'!$B$10&amp;" ","")&amp;IF(AND(ABS('Реестр рисков'!$G$11-0.6)&lt;0.001,ABS('Реестр рисков'!$H$11-0.6)&lt;0.001),'Реестр рисков'!$B$11&amp;" ","")&amp;IF(AND(ABS('Реестр рисков'!$G$12-0.6)&lt;0.001,ABS('Реестр рисков'!$H$12-0.6)&lt;0.001),'Реестр рисков'!$B$12&amp;" ","")&amp;IF(AND(ABS('Реестр рисков'!$G$13-0.6)&lt;0.001,ABS('Реестр рисков'!$H$13-0.6)&lt;0.001),'Реестр рисков'!$B$13&amp;" ","")&amp;IF(AND(ABS('Реестр рисков'!$G$14-0.6)&lt;0.001,ABS('Реестр рисков'!$H$14-0.6)&lt;0.001),'Реестр рисков'!$B$14&amp;" ","")&amp;IF(AND(ABS('Реестр рисков'!$G$15-0.6)&lt;0.001,ABS('Реестр рисков'!$H$15-0.6)&lt;0.001),'Реестр рисков'!$B$15&amp;" ","")&amp;IF(AND(ABS('Реестр рисков'!$G$16-0.6)&lt;0.001,ABS('Реестр рисков'!$H$16-0.6)&lt;0.001),'Реестр рисков'!$B$16&amp;" ","")&amp;IF(AND(ABS('Реестр рисков'!$G$17-0.6)&lt;0.001,ABS('Реестр рисков'!$H$17-0.6)&lt;0.001),'Реестр рисков'!$B$17&amp;" ","")&amp;IF(AND(ABS('Реестр рисков'!$G$18-0.6)&lt;0.001,ABS('Реестр рисков'!$H$18-0.6)&lt;0.001),'Реестр рисков'!$B$18&amp;" ","")&amp;IF(AND(ABS('Реестр рисков'!$G$19-0.6)&lt;0.001,ABS('Реестр рисков'!$H$19-0.6)&lt;0.001),'Реестр рисков'!$B$19&amp;" ","")&amp;IF(AND(ABS('Реестр рисков'!$G$20-0.6)&lt;0.001,ABS('Реестр рисков'!$H$20-0.6)&lt;0.001),'Реестр рисков'!$B$20&amp;" ","")&amp;IF(AND(ABS('Реестр рисков'!$G$21-0.6)&lt;0.001,ABS('Реестр рисков'!$H$21-0.6)&lt;0.001),'Реестр рисков'!$B$21&amp;" ","")&amp;IF(AND(ABS('Реестр рисков'!$G$22-0.6)&lt;0.001,ABS('Реестр рисков'!$H$22-0.6)&lt;0.001),'Реестр рисков'!$B$22&amp;" ","")&amp;IF(AND(ABS('Реестр рисков'!$G$23-0.6)&lt;0.001,ABS('Реестр рисков'!$H$23-0.6)&lt;0.001),'Реестр рисков'!$B$23&amp;" ",""))</f>
        <v>R6</v>
      </c>
      <c r="I9" s="27" t="str">
        <f aca="false">TRIM(IF(AND(ABS('Реестр рисков'!$G$5-0.7)&lt;0.001,ABS('Реестр рисков'!$H$5-0.6)&lt;0.001),'Реестр рисков'!$B$5&amp;" ","")&amp;IF(AND(ABS('Реестр рисков'!$G$6-0.7)&lt;0.001,ABS('Реестр рисков'!$H$6-0.6)&lt;0.001),'Реестр рисков'!$B$6&amp;" ","")&amp;IF(AND(ABS('Реестр рисков'!$G$7-0.7)&lt;0.001,ABS('Реестр рисков'!$H$7-0.6)&lt;0.001),'Реестр рисков'!$B$7&amp;" ","")&amp;IF(AND(ABS('Реестр рисков'!$G$8-0.7)&lt;0.001,ABS('Реестр рисков'!$H$8-0.6)&lt;0.001),'Реестр рисков'!$B$8&amp;" ","")&amp;IF(AND(ABS('Реестр рисков'!$G$9-0.7)&lt;0.001,ABS('Реестр рисков'!$H$9-0.6)&lt;0.001),'Реестр рисков'!$B$9&amp;" ","")&amp;IF(AND(ABS('Реестр рисков'!$G$10-0.7)&lt;0.001,ABS('Реестр рисков'!$H$10-0.6)&lt;0.001),'Реестр рисков'!$B$10&amp;" ","")&amp;IF(AND(ABS('Реестр рисков'!$G$11-0.7)&lt;0.001,ABS('Реестр рисков'!$H$11-0.6)&lt;0.001),'Реестр рисков'!$B$11&amp;" ","")&amp;IF(AND(ABS('Реестр рисков'!$G$12-0.7)&lt;0.001,ABS('Реестр рисков'!$H$12-0.6)&lt;0.001),'Реестр рисков'!$B$12&amp;" ","")&amp;IF(AND(ABS('Реестр рисков'!$G$13-0.7)&lt;0.001,ABS('Реестр рисков'!$H$13-0.6)&lt;0.001),'Реестр рисков'!$B$13&amp;" ","")&amp;IF(AND(ABS('Реестр рисков'!$G$14-0.7)&lt;0.001,ABS('Реестр рисков'!$H$14-0.6)&lt;0.001),'Реестр рисков'!$B$14&amp;" ","")&amp;IF(AND(ABS('Реестр рисков'!$G$15-0.7)&lt;0.001,ABS('Реестр рисков'!$H$15-0.6)&lt;0.001),'Реестр рисков'!$B$15&amp;" ","")&amp;IF(AND(ABS('Реестр рисков'!$G$16-0.7)&lt;0.001,ABS('Реестр рисков'!$H$16-0.6)&lt;0.001),'Реестр рисков'!$B$16&amp;" ","")&amp;IF(AND(ABS('Реестр рисков'!$G$17-0.7)&lt;0.001,ABS('Реестр рисков'!$H$17-0.6)&lt;0.001),'Реестр рисков'!$B$17&amp;" ","")&amp;IF(AND(ABS('Реестр рисков'!$G$18-0.7)&lt;0.001,ABS('Реестр рисков'!$H$18-0.6)&lt;0.001),'Реестр рисков'!$B$18&amp;" ","")&amp;IF(AND(ABS('Реестр рисков'!$G$19-0.7)&lt;0.001,ABS('Реестр рисков'!$H$19-0.6)&lt;0.001),'Реестр рисков'!$B$19&amp;" ","")&amp;IF(AND(ABS('Реестр рисков'!$G$20-0.7)&lt;0.001,ABS('Реестр рисков'!$H$20-0.6)&lt;0.001),'Реестр рисков'!$B$20&amp;" ","")&amp;IF(AND(ABS('Реестр рисков'!$G$21-0.7)&lt;0.001,ABS('Реестр рисков'!$H$21-0.6)&lt;0.001),'Реестр рисков'!$B$21&amp;" ","")&amp;IF(AND(ABS('Реестр рисков'!$G$22-0.7)&lt;0.001,ABS('Реестр рисков'!$H$22-0.6)&lt;0.001),'Реестр рисков'!$B$22&amp;" ","")&amp;IF(AND(ABS('Реестр рисков'!$G$23-0.7)&lt;0.001,ABS('Реестр рисков'!$H$23-0.6)&lt;0.001),'Реестр рисков'!$B$23&amp;" ",""))</f>
        <v/>
      </c>
      <c r="J9" s="27" t="str">
        <f aca="false">TRIM(IF(AND(ABS('Реестр рисков'!$G$5-0.8)&lt;0.001,ABS('Реестр рисков'!$H$5-0.6)&lt;0.001),'Реестр рисков'!$B$5&amp;" ","")&amp;IF(AND(ABS('Реестр рисков'!$G$6-0.8)&lt;0.001,ABS('Реестр рисков'!$H$6-0.6)&lt;0.001),'Реестр рисков'!$B$6&amp;" ","")&amp;IF(AND(ABS('Реестр рисков'!$G$7-0.8)&lt;0.001,ABS('Реестр рисков'!$H$7-0.6)&lt;0.001),'Реестр рисков'!$B$7&amp;" ","")&amp;IF(AND(ABS('Реестр рисков'!$G$8-0.8)&lt;0.001,ABS('Реестр рисков'!$H$8-0.6)&lt;0.001),'Реестр рисков'!$B$8&amp;" ","")&amp;IF(AND(ABS('Реестр рисков'!$G$9-0.8)&lt;0.001,ABS('Реестр рисков'!$H$9-0.6)&lt;0.001),'Реестр рисков'!$B$9&amp;" ","")&amp;IF(AND(ABS('Реестр рисков'!$G$10-0.8)&lt;0.001,ABS('Реестр рисков'!$H$10-0.6)&lt;0.001),'Реестр рисков'!$B$10&amp;" ","")&amp;IF(AND(ABS('Реестр рисков'!$G$11-0.8)&lt;0.001,ABS('Реестр рисков'!$H$11-0.6)&lt;0.001),'Реестр рисков'!$B$11&amp;" ","")&amp;IF(AND(ABS('Реестр рисков'!$G$12-0.8)&lt;0.001,ABS('Реестр рисков'!$H$12-0.6)&lt;0.001),'Реестр рисков'!$B$12&amp;" ","")&amp;IF(AND(ABS('Реестр рисков'!$G$13-0.8)&lt;0.001,ABS('Реестр рисков'!$H$13-0.6)&lt;0.001),'Реестр рисков'!$B$13&amp;" ","")&amp;IF(AND(ABS('Реестр рисков'!$G$14-0.8)&lt;0.001,ABS('Реестр рисков'!$H$14-0.6)&lt;0.001),'Реестр рисков'!$B$14&amp;" ","")&amp;IF(AND(ABS('Реестр рисков'!$G$15-0.8)&lt;0.001,ABS('Реестр рисков'!$H$15-0.6)&lt;0.001),'Реестр рисков'!$B$15&amp;" ","")&amp;IF(AND(ABS('Реестр рисков'!$G$16-0.8)&lt;0.001,ABS('Реестр рисков'!$H$16-0.6)&lt;0.001),'Реестр рисков'!$B$16&amp;" ","")&amp;IF(AND(ABS('Реестр рисков'!$G$17-0.8)&lt;0.001,ABS('Реестр рисков'!$H$17-0.6)&lt;0.001),'Реестр рисков'!$B$17&amp;" ","")&amp;IF(AND(ABS('Реестр рисков'!$G$18-0.8)&lt;0.001,ABS('Реестр рисков'!$H$18-0.6)&lt;0.001),'Реестр рисков'!$B$18&amp;" ","")&amp;IF(AND(ABS('Реестр рисков'!$G$19-0.8)&lt;0.001,ABS('Реестр рисков'!$H$19-0.6)&lt;0.001),'Реестр рисков'!$B$19&amp;" ","")&amp;IF(AND(ABS('Реестр рисков'!$G$20-0.8)&lt;0.001,ABS('Реестр рисков'!$H$20-0.6)&lt;0.001),'Реестр рисков'!$B$20&amp;" ","")&amp;IF(AND(ABS('Реестр рисков'!$G$21-0.8)&lt;0.001,ABS('Реестр рисков'!$H$21-0.6)&lt;0.001),'Реестр рисков'!$B$21&amp;" ","")&amp;IF(AND(ABS('Реестр рисков'!$G$22-0.8)&lt;0.001,ABS('Реестр рисков'!$H$22-0.6)&lt;0.001),'Реестр рисков'!$B$22&amp;" ","")&amp;IF(AND(ABS('Реестр рисков'!$G$23-0.8)&lt;0.001,ABS('Реестр рисков'!$H$23-0.6)&lt;0.001),'Реестр рисков'!$B$23&amp;" ",""))</f>
        <v/>
      </c>
      <c r="K9" s="28" t="str">
        <f aca="false">TRIM(IF(AND(ABS('Реестр рисков'!$G$5-0.9)&lt;0.001,ABS('Реестр рисков'!$H$5-0.6)&lt;0.001),'Реестр рисков'!$B$5&amp;" ","")&amp;IF(AND(ABS('Реестр рисков'!$G$6-0.9)&lt;0.001,ABS('Реестр рисков'!$H$6-0.6)&lt;0.001),'Реестр рисков'!$B$6&amp;" ","")&amp;IF(AND(ABS('Реестр рисков'!$G$7-0.9)&lt;0.001,ABS('Реестр рисков'!$H$7-0.6)&lt;0.001),'Реестр рисков'!$B$7&amp;" ","")&amp;IF(AND(ABS('Реестр рисков'!$G$8-0.9)&lt;0.001,ABS('Реестр рисков'!$H$8-0.6)&lt;0.001),'Реестр рисков'!$B$8&amp;" ","")&amp;IF(AND(ABS('Реестр рисков'!$G$9-0.9)&lt;0.001,ABS('Реестр рисков'!$H$9-0.6)&lt;0.001),'Реестр рисков'!$B$9&amp;" ","")&amp;IF(AND(ABS('Реестр рисков'!$G$10-0.9)&lt;0.001,ABS('Реестр рисков'!$H$10-0.6)&lt;0.001),'Реестр рисков'!$B$10&amp;" ","")&amp;IF(AND(ABS('Реестр рисков'!$G$11-0.9)&lt;0.001,ABS('Реестр рисков'!$H$11-0.6)&lt;0.001),'Реестр рисков'!$B$11&amp;" ","")&amp;IF(AND(ABS('Реестр рисков'!$G$12-0.9)&lt;0.001,ABS('Реестр рисков'!$H$12-0.6)&lt;0.001),'Реестр рисков'!$B$12&amp;" ","")&amp;IF(AND(ABS('Реестр рисков'!$G$13-0.9)&lt;0.001,ABS('Реестр рисков'!$H$13-0.6)&lt;0.001),'Реестр рисков'!$B$13&amp;" ","")&amp;IF(AND(ABS('Реестр рисков'!$G$14-0.9)&lt;0.001,ABS('Реестр рисков'!$H$14-0.6)&lt;0.001),'Реестр рисков'!$B$14&amp;" ","")&amp;IF(AND(ABS('Реестр рисков'!$G$15-0.9)&lt;0.001,ABS('Реестр рисков'!$H$15-0.6)&lt;0.001),'Реестр рисков'!$B$15&amp;" ","")&amp;IF(AND(ABS('Реестр рисков'!$G$16-0.9)&lt;0.001,ABS('Реестр рисков'!$H$16-0.6)&lt;0.001),'Реестр рисков'!$B$16&amp;" ","")&amp;IF(AND(ABS('Реестр рисков'!$G$17-0.9)&lt;0.001,ABS('Реестр рисков'!$H$17-0.6)&lt;0.001),'Реестр рисков'!$B$17&amp;" ","")&amp;IF(AND(ABS('Реестр рисков'!$G$18-0.9)&lt;0.001,ABS('Реестр рисков'!$H$18-0.6)&lt;0.001),'Реестр рисков'!$B$18&amp;" ","")&amp;IF(AND(ABS('Реестр рисков'!$G$19-0.9)&lt;0.001,ABS('Реестр рисков'!$H$19-0.6)&lt;0.001),'Реестр рисков'!$B$19&amp;" ","")&amp;IF(AND(ABS('Реестр рисков'!$G$20-0.9)&lt;0.001,ABS('Реестр рисков'!$H$20-0.6)&lt;0.001),'Реестр рисков'!$B$20&amp;" ","")&amp;IF(AND(ABS('Реестр рисков'!$G$21-0.9)&lt;0.001,ABS('Реестр рисков'!$H$21-0.6)&lt;0.001),'Реестр рисков'!$B$21&amp;" ","")&amp;IF(AND(ABS('Реестр рисков'!$G$22-0.9)&lt;0.001,ABS('Реестр рисков'!$H$22-0.6)&lt;0.001),'Реестр рисков'!$B$22&amp;" ","")&amp;IF(AND(ABS('Реестр рисков'!$G$23-0.9)&lt;0.001,ABS('Реестр рисков'!$H$23-0.6)&lt;0.001),'Реестр рисков'!$B$23&amp;" ",""))</f>
        <v/>
      </c>
      <c r="L9" s="28" t="str">
        <f aca="false">TRIM(IF(AND(ABS('Реестр рисков'!$G$5-1)&lt;0.001,ABS('Реестр рисков'!$H$5-0.6)&lt;0.001),'Реестр рисков'!$B$5&amp;" ","")&amp;IF(AND(ABS('Реестр рисков'!$G$6-1)&lt;0.001,ABS('Реестр рисков'!$H$6-0.6)&lt;0.001),'Реестр рисков'!$B$6&amp;" ","")&amp;IF(AND(ABS('Реестр рисков'!$G$7-1)&lt;0.001,ABS('Реестр рисков'!$H$7-0.6)&lt;0.001),'Реестр рисков'!$B$7&amp;" ","")&amp;IF(AND(ABS('Реестр рисков'!$G$8-1)&lt;0.001,ABS('Реестр рисков'!$H$8-0.6)&lt;0.001),'Реестр рисков'!$B$8&amp;" ","")&amp;IF(AND(ABS('Реестр рисков'!$G$9-1)&lt;0.001,ABS('Реестр рисков'!$H$9-0.6)&lt;0.001),'Реестр рисков'!$B$9&amp;" ","")&amp;IF(AND(ABS('Реестр рисков'!$G$10-1)&lt;0.001,ABS('Реестр рисков'!$H$10-0.6)&lt;0.001),'Реестр рисков'!$B$10&amp;" ","")&amp;IF(AND(ABS('Реестр рисков'!$G$11-1)&lt;0.001,ABS('Реестр рисков'!$H$11-0.6)&lt;0.001),'Реестр рисков'!$B$11&amp;" ","")&amp;IF(AND(ABS('Реестр рисков'!$G$12-1)&lt;0.001,ABS('Реестр рисков'!$H$12-0.6)&lt;0.001),'Реестр рисков'!$B$12&amp;" ","")&amp;IF(AND(ABS('Реестр рисков'!$G$13-1)&lt;0.001,ABS('Реестр рисков'!$H$13-0.6)&lt;0.001),'Реестр рисков'!$B$13&amp;" ","")&amp;IF(AND(ABS('Реестр рисков'!$G$14-1)&lt;0.001,ABS('Реестр рисков'!$H$14-0.6)&lt;0.001),'Реестр рисков'!$B$14&amp;" ","")&amp;IF(AND(ABS('Реестр рисков'!$G$15-1)&lt;0.001,ABS('Реестр рисков'!$H$15-0.6)&lt;0.001),'Реестр рисков'!$B$15&amp;" ","")&amp;IF(AND(ABS('Реестр рисков'!$G$16-1)&lt;0.001,ABS('Реестр рисков'!$H$16-0.6)&lt;0.001),'Реестр рисков'!$B$16&amp;" ","")&amp;IF(AND(ABS('Реестр рисков'!$G$17-1)&lt;0.001,ABS('Реестр рисков'!$H$17-0.6)&lt;0.001),'Реестр рисков'!$B$17&amp;" ","")&amp;IF(AND(ABS('Реестр рисков'!$G$18-1)&lt;0.001,ABS('Реестр рисков'!$H$18-0.6)&lt;0.001),'Реестр рисков'!$B$18&amp;" ","")&amp;IF(AND(ABS('Реестр рисков'!$G$19-1)&lt;0.001,ABS('Реестр рисков'!$H$19-0.6)&lt;0.001),'Реестр рисков'!$B$19&amp;" ","")&amp;IF(AND(ABS('Реестр рисков'!$G$20-1)&lt;0.001,ABS('Реестр рисков'!$H$20-0.6)&lt;0.001),'Реестр рисков'!$B$20&amp;" ","")&amp;IF(AND(ABS('Реестр рисков'!$G$21-1)&lt;0.001,ABS('Реестр рисков'!$H$21-0.6)&lt;0.001),'Реестр рисков'!$B$21&amp;" ","")&amp;IF(AND(ABS('Реестр рисков'!$G$22-1)&lt;0.001,ABS('Реестр рисков'!$H$22-0.6)&lt;0.001),'Реестр рисков'!$B$22&amp;" ","")&amp;IF(AND(ABS('Реестр рисков'!$G$23-1)&lt;0.001,ABS('Реестр рисков'!$H$23-0.6)&lt;0.001),'Реестр рисков'!$B$23&amp;" ",""))</f>
        <v/>
      </c>
    </row>
    <row r="10" customFormat="false" ht="30" hidden="false" customHeight="true" outlineLevel="0" collapsed="false">
      <c r="A10" s="24"/>
      <c r="B10" s="25" t="n">
        <v>0.5</v>
      </c>
      <c r="C10" s="26" t="str">
        <f aca="false">TRIM(IF(AND(ABS('Реестр рисков'!$G$5-0.1)&lt;0.001,ABS('Реестр рисков'!$H$5-0.5)&lt;0.001),'Реестр рисков'!$B$5&amp;" ","")&amp;IF(AND(ABS('Реестр рисков'!$G$6-0.1)&lt;0.001,ABS('Реестр рисков'!$H$6-0.5)&lt;0.001),'Реестр рисков'!$B$6&amp;" ","")&amp;IF(AND(ABS('Реестр рисков'!$G$7-0.1)&lt;0.001,ABS('Реестр рисков'!$H$7-0.5)&lt;0.001),'Реестр рисков'!$B$7&amp;" ","")&amp;IF(AND(ABS('Реестр рисков'!$G$8-0.1)&lt;0.001,ABS('Реестр рисков'!$H$8-0.5)&lt;0.001),'Реестр рисков'!$B$8&amp;" ","")&amp;IF(AND(ABS('Реестр рисков'!$G$9-0.1)&lt;0.001,ABS('Реестр рисков'!$H$9-0.5)&lt;0.001),'Реестр рисков'!$B$9&amp;" ","")&amp;IF(AND(ABS('Реестр рисков'!$G$10-0.1)&lt;0.001,ABS('Реестр рисков'!$H$10-0.5)&lt;0.001),'Реестр рисков'!$B$10&amp;" ","")&amp;IF(AND(ABS('Реестр рисков'!$G$11-0.1)&lt;0.001,ABS('Реестр рисков'!$H$11-0.5)&lt;0.001),'Реестр рисков'!$B$11&amp;" ","")&amp;IF(AND(ABS('Реестр рисков'!$G$12-0.1)&lt;0.001,ABS('Реестр рисков'!$H$12-0.5)&lt;0.001),'Реестр рисков'!$B$12&amp;" ","")&amp;IF(AND(ABS('Реестр рисков'!$G$13-0.1)&lt;0.001,ABS('Реестр рисков'!$H$13-0.5)&lt;0.001),'Реестр рисков'!$B$13&amp;" ","")&amp;IF(AND(ABS('Реестр рисков'!$G$14-0.1)&lt;0.001,ABS('Реестр рисков'!$H$14-0.5)&lt;0.001),'Реестр рисков'!$B$14&amp;" ","")&amp;IF(AND(ABS('Реестр рисков'!$G$15-0.1)&lt;0.001,ABS('Реестр рисков'!$H$15-0.5)&lt;0.001),'Реестр рисков'!$B$15&amp;" ","")&amp;IF(AND(ABS('Реестр рисков'!$G$16-0.1)&lt;0.001,ABS('Реестр рисков'!$H$16-0.5)&lt;0.001),'Реестр рисков'!$B$16&amp;" ","")&amp;IF(AND(ABS('Реестр рисков'!$G$17-0.1)&lt;0.001,ABS('Реестр рисков'!$H$17-0.5)&lt;0.001),'Реестр рисков'!$B$17&amp;" ","")&amp;IF(AND(ABS('Реестр рисков'!$G$18-0.1)&lt;0.001,ABS('Реестр рисков'!$H$18-0.5)&lt;0.001),'Реестр рисков'!$B$18&amp;" ","")&amp;IF(AND(ABS('Реестр рисков'!$G$19-0.1)&lt;0.001,ABS('Реестр рисков'!$H$19-0.5)&lt;0.001),'Реестр рисков'!$B$19&amp;" ","")&amp;IF(AND(ABS('Реестр рисков'!$G$20-0.1)&lt;0.001,ABS('Реестр рисков'!$H$20-0.5)&lt;0.001),'Реестр рисков'!$B$20&amp;" ","")&amp;IF(AND(ABS('Реестр рисков'!$G$21-0.1)&lt;0.001,ABS('Реестр рисков'!$H$21-0.5)&lt;0.001),'Реестр рисков'!$B$21&amp;" ","")&amp;IF(AND(ABS('Реестр рисков'!$G$22-0.1)&lt;0.001,ABS('Реестр рисков'!$H$22-0.5)&lt;0.001),'Реестр рисков'!$B$22&amp;" ","")&amp;IF(AND(ABS('Реестр рисков'!$G$23-0.1)&lt;0.001,ABS('Реестр рисков'!$H$23-0.5)&lt;0.001),'Реестр рисков'!$B$23&amp;" ",""))</f>
        <v/>
      </c>
      <c r="D10" s="26" t="str">
        <f aca="false">TRIM(IF(AND(ABS('Реестр рисков'!$G$5-0.2)&lt;0.001,ABS('Реестр рисков'!$H$5-0.5)&lt;0.001),'Реестр рисков'!$B$5&amp;" ","")&amp;IF(AND(ABS('Реестр рисков'!$G$6-0.2)&lt;0.001,ABS('Реестр рисков'!$H$6-0.5)&lt;0.001),'Реестр рисков'!$B$6&amp;" ","")&amp;IF(AND(ABS('Реестр рисков'!$G$7-0.2)&lt;0.001,ABS('Реестр рисков'!$H$7-0.5)&lt;0.001),'Реестр рисков'!$B$7&amp;" ","")&amp;IF(AND(ABS('Реестр рисков'!$G$8-0.2)&lt;0.001,ABS('Реестр рисков'!$H$8-0.5)&lt;0.001),'Реестр рисков'!$B$8&amp;" ","")&amp;IF(AND(ABS('Реестр рисков'!$G$9-0.2)&lt;0.001,ABS('Реестр рисков'!$H$9-0.5)&lt;0.001),'Реестр рисков'!$B$9&amp;" ","")&amp;IF(AND(ABS('Реестр рисков'!$G$10-0.2)&lt;0.001,ABS('Реестр рисков'!$H$10-0.5)&lt;0.001),'Реестр рисков'!$B$10&amp;" ","")&amp;IF(AND(ABS('Реестр рисков'!$G$11-0.2)&lt;0.001,ABS('Реестр рисков'!$H$11-0.5)&lt;0.001),'Реестр рисков'!$B$11&amp;" ","")&amp;IF(AND(ABS('Реестр рисков'!$G$12-0.2)&lt;0.001,ABS('Реестр рисков'!$H$12-0.5)&lt;0.001),'Реестр рисков'!$B$12&amp;" ","")&amp;IF(AND(ABS('Реестр рисков'!$G$13-0.2)&lt;0.001,ABS('Реестр рисков'!$H$13-0.5)&lt;0.001),'Реестр рисков'!$B$13&amp;" ","")&amp;IF(AND(ABS('Реестр рисков'!$G$14-0.2)&lt;0.001,ABS('Реестр рисков'!$H$14-0.5)&lt;0.001),'Реестр рисков'!$B$14&amp;" ","")&amp;IF(AND(ABS('Реестр рисков'!$G$15-0.2)&lt;0.001,ABS('Реестр рисков'!$H$15-0.5)&lt;0.001),'Реестр рисков'!$B$15&amp;" ","")&amp;IF(AND(ABS('Реестр рисков'!$G$16-0.2)&lt;0.001,ABS('Реестр рисков'!$H$16-0.5)&lt;0.001),'Реестр рисков'!$B$16&amp;" ","")&amp;IF(AND(ABS('Реестр рисков'!$G$17-0.2)&lt;0.001,ABS('Реестр рисков'!$H$17-0.5)&lt;0.001),'Реестр рисков'!$B$17&amp;" ","")&amp;IF(AND(ABS('Реестр рисков'!$G$18-0.2)&lt;0.001,ABS('Реестр рисков'!$H$18-0.5)&lt;0.001),'Реестр рисков'!$B$18&amp;" ","")&amp;IF(AND(ABS('Реестр рисков'!$G$19-0.2)&lt;0.001,ABS('Реестр рисков'!$H$19-0.5)&lt;0.001),'Реестр рисков'!$B$19&amp;" ","")&amp;IF(AND(ABS('Реестр рисков'!$G$20-0.2)&lt;0.001,ABS('Реестр рисков'!$H$20-0.5)&lt;0.001),'Реестр рисков'!$B$20&amp;" ","")&amp;IF(AND(ABS('Реестр рисков'!$G$21-0.2)&lt;0.001,ABS('Реестр рисков'!$H$21-0.5)&lt;0.001),'Реестр рисков'!$B$21&amp;" ","")&amp;IF(AND(ABS('Реестр рисков'!$G$22-0.2)&lt;0.001,ABS('Реестр рисков'!$H$22-0.5)&lt;0.001),'Реестр рисков'!$B$22&amp;" ","")&amp;IF(AND(ABS('Реестр рисков'!$G$23-0.2)&lt;0.001,ABS('Реестр рисков'!$H$23-0.5)&lt;0.001),'Реестр рисков'!$B$23&amp;" ",""))</f>
        <v/>
      </c>
      <c r="E10" s="27" t="str">
        <f aca="false">TRIM(IF(AND(ABS('Реестр рисков'!$G$5-0.3)&lt;0.001,ABS('Реестр рисков'!$H$5-0.5)&lt;0.001),'Реестр рисков'!$B$5&amp;" ","")&amp;IF(AND(ABS('Реестр рисков'!$G$6-0.3)&lt;0.001,ABS('Реестр рисков'!$H$6-0.5)&lt;0.001),'Реестр рисков'!$B$6&amp;" ","")&amp;IF(AND(ABS('Реестр рисков'!$G$7-0.3)&lt;0.001,ABS('Реестр рисков'!$H$7-0.5)&lt;0.001),'Реестр рисков'!$B$7&amp;" ","")&amp;IF(AND(ABS('Реестр рисков'!$G$8-0.3)&lt;0.001,ABS('Реестр рисков'!$H$8-0.5)&lt;0.001),'Реестр рисков'!$B$8&amp;" ","")&amp;IF(AND(ABS('Реестр рисков'!$G$9-0.3)&lt;0.001,ABS('Реестр рисков'!$H$9-0.5)&lt;0.001),'Реестр рисков'!$B$9&amp;" ","")&amp;IF(AND(ABS('Реестр рисков'!$G$10-0.3)&lt;0.001,ABS('Реестр рисков'!$H$10-0.5)&lt;0.001),'Реестр рисков'!$B$10&amp;" ","")&amp;IF(AND(ABS('Реестр рисков'!$G$11-0.3)&lt;0.001,ABS('Реестр рисков'!$H$11-0.5)&lt;0.001),'Реестр рисков'!$B$11&amp;" ","")&amp;IF(AND(ABS('Реестр рисков'!$G$12-0.3)&lt;0.001,ABS('Реестр рисков'!$H$12-0.5)&lt;0.001),'Реестр рисков'!$B$12&amp;" ","")&amp;IF(AND(ABS('Реестр рисков'!$G$13-0.3)&lt;0.001,ABS('Реестр рисков'!$H$13-0.5)&lt;0.001),'Реестр рисков'!$B$13&amp;" ","")&amp;IF(AND(ABS('Реестр рисков'!$G$14-0.3)&lt;0.001,ABS('Реестр рисков'!$H$14-0.5)&lt;0.001),'Реестр рисков'!$B$14&amp;" ","")&amp;IF(AND(ABS('Реестр рисков'!$G$15-0.3)&lt;0.001,ABS('Реестр рисков'!$H$15-0.5)&lt;0.001),'Реестр рисков'!$B$15&amp;" ","")&amp;IF(AND(ABS('Реестр рисков'!$G$16-0.3)&lt;0.001,ABS('Реестр рисков'!$H$16-0.5)&lt;0.001),'Реестр рисков'!$B$16&amp;" ","")&amp;IF(AND(ABS('Реестр рисков'!$G$17-0.3)&lt;0.001,ABS('Реестр рисков'!$H$17-0.5)&lt;0.001),'Реестр рисков'!$B$17&amp;" ","")&amp;IF(AND(ABS('Реестр рисков'!$G$18-0.3)&lt;0.001,ABS('Реестр рисков'!$H$18-0.5)&lt;0.001),'Реестр рисков'!$B$18&amp;" ","")&amp;IF(AND(ABS('Реестр рисков'!$G$19-0.3)&lt;0.001,ABS('Реестр рисков'!$H$19-0.5)&lt;0.001),'Реестр рисков'!$B$19&amp;" ","")&amp;IF(AND(ABS('Реестр рисков'!$G$20-0.3)&lt;0.001,ABS('Реестр рисков'!$H$20-0.5)&lt;0.001),'Реестр рисков'!$B$20&amp;" ","")&amp;IF(AND(ABS('Реестр рисков'!$G$21-0.3)&lt;0.001,ABS('Реестр рисков'!$H$21-0.5)&lt;0.001),'Реестр рисков'!$B$21&amp;" ","")&amp;IF(AND(ABS('Реестр рисков'!$G$22-0.3)&lt;0.001,ABS('Реестр рисков'!$H$22-0.5)&lt;0.001),'Реестр рисков'!$B$22&amp;" ","")&amp;IF(AND(ABS('Реестр рисков'!$G$23-0.3)&lt;0.001,ABS('Реестр рисков'!$H$23-0.5)&lt;0.001),'Реестр рисков'!$B$23&amp;" ",""))</f>
        <v/>
      </c>
      <c r="F10" s="27" t="str">
        <f aca="false">TRIM(IF(AND(ABS('Реестр рисков'!$G$5-0.4)&lt;0.001,ABS('Реестр рисков'!$H$5-0.5)&lt;0.001),'Реестр рисков'!$B$5&amp;" ","")&amp;IF(AND(ABS('Реестр рисков'!$G$6-0.4)&lt;0.001,ABS('Реестр рисков'!$H$6-0.5)&lt;0.001),'Реестр рисков'!$B$6&amp;" ","")&amp;IF(AND(ABS('Реестр рисков'!$G$7-0.4)&lt;0.001,ABS('Реестр рисков'!$H$7-0.5)&lt;0.001),'Реестр рисков'!$B$7&amp;" ","")&amp;IF(AND(ABS('Реестр рисков'!$G$8-0.4)&lt;0.001,ABS('Реестр рисков'!$H$8-0.5)&lt;0.001),'Реестр рисков'!$B$8&amp;" ","")&amp;IF(AND(ABS('Реестр рисков'!$G$9-0.4)&lt;0.001,ABS('Реестр рисков'!$H$9-0.5)&lt;0.001),'Реестр рисков'!$B$9&amp;" ","")&amp;IF(AND(ABS('Реестр рисков'!$G$10-0.4)&lt;0.001,ABS('Реестр рисков'!$H$10-0.5)&lt;0.001),'Реестр рисков'!$B$10&amp;" ","")&amp;IF(AND(ABS('Реестр рисков'!$G$11-0.4)&lt;0.001,ABS('Реестр рисков'!$H$11-0.5)&lt;0.001),'Реестр рисков'!$B$11&amp;" ","")&amp;IF(AND(ABS('Реестр рисков'!$G$12-0.4)&lt;0.001,ABS('Реестр рисков'!$H$12-0.5)&lt;0.001),'Реестр рисков'!$B$12&amp;" ","")&amp;IF(AND(ABS('Реестр рисков'!$G$13-0.4)&lt;0.001,ABS('Реестр рисков'!$H$13-0.5)&lt;0.001),'Реестр рисков'!$B$13&amp;" ","")&amp;IF(AND(ABS('Реестр рисков'!$G$14-0.4)&lt;0.001,ABS('Реестр рисков'!$H$14-0.5)&lt;0.001),'Реестр рисков'!$B$14&amp;" ","")&amp;IF(AND(ABS('Реестр рисков'!$G$15-0.4)&lt;0.001,ABS('Реестр рисков'!$H$15-0.5)&lt;0.001),'Реестр рисков'!$B$15&amp;" ","")&amp;IF(AND(ABS('Реестр рисков'!$G$16-0.4)&lt;0.001,ABS('Реестр рисков'!$H$16-0.5)&lt;0.001),'Реестр рисков'!$B$16&amp;" ","")&amp;IF(AND(ABS('Реестр рисков'!$G$17-0.4)&lt;0.001,ABS('Реестр рисков'!$H$17-0.5)&lt;0.001),'Реестр рисков'!$B$17&amp;" ","")&amp;IF(AND(ABS('Реестр рисков'!$G$18-0.4)&lt;0.001,ABS('Реестр рисков'!$H$18-0.5)&lt;0.001),'Реестр рисков'!$B$18&amp;" ","")&amp;IF(AND(ABS('Реестр рисков'!$G$19-0.4)&lt;0.001,ABS('Реестр рисков'!$H$19-0.5)&lt;0.001),'Реестр рисков'!$B$19&amp;" ","")&amp;IF(AND(ABS('Реестр рисков'!$G$20-0.4)&lt;0.001,ABS('Реестр рисков'!$H$20-0.5)&lt;0.001),'Реестр рисков'!$B$20&amp;" ","")&amp;IF(AND(ABS('Реестр рисков'!$G$21-0.4)&lt;0.001,ABS('Реестр рисков'!$H$21-0.5)&lt;0.001),'Реестр рисков'!$B$21&amp;" ","")&amp;IF(AND(ABS('Реестр рисков'!$G$22-0.4)&lt;0.001,ABS('Реестр рисков'!$H$22-0.5)&lt;0.001),'Реестр рисков'!$B$22&amp;" ","")&amp;IF(AND(ABS('Реестр рисков'!$G$23-0.4)&lt;0.001,ABS('Реестр рисков'!$H$23-0.5)&lt;0.001),'Реестр рисков'!$B$23&amp;" ",""))</f>
        <v>R18</v>
      </c>
      <c r="G10" s="27" t="str">
        <f aca="false">TRIM(IF(AND(ABS('Реестр рисков'!$G$5-0.5)&lt;0.001,ABS('Реестр рисков'!$H$5-0.5)&lt;0.001),'Реестр рисков'!$B$5&amp;" ","")&amp;IF(AND(ABS('Реестр рисков'!$G$6-0.5)&lt;0.001,ABS('Реестр рисков'!$H$6-0.5)&lt;0.001),'Реестр рисков'!$B$6&amp;" ","")&amp;IF(AND(ABS('Реестр рисков'!$G$7-0.5)&lt;0.001,ABS('Реестр рисков'!$H$7-0.5)&lt;0.001),'Реестр рисков'!$B$7&amp;" ","")&amp;IF(AND(ABS('Реестр рисков'!$G$8-0.5)&lt;0.001,ABS('Реестр рисков'!$H$8-0.5)&lt;0.001),'Реестр рисков'!$B$8&amp;" ","")&amp;IF(AND(ABS('Реестр рисков'!$G$9-0.5)&lt;0.001,ABS('Реестр рисков'!$H$9-0.5)&lt;0.001),'Реестр рисков'!$B$9&amp;" ","")&amp;IF(AND(ABS('Реестр рисков'!$G$10-0.5)&lt;0.001,ABS('Реестр рисков'!$H$10-0.5)&lt;0.001),'Реестр рисков'!$B$10&amp;" ","")&amp;IF(AND(ABS('Реестр рисков'!$G$11-0.5)&lt;0.001,ABS('Реестр рисков'!$H$11-0.5)&lt;0.001),'Реестр рисков'!$B$11&amp;" ","")&amp;IF(AND(ABS('Реестр рисков'!$G$12-0.5)&lt;0.001,ABS('Реестр рисков'!$H$12-0.5)&lt;0.001),'Реестр рисков'!$B$12&amp;" ","")&amp;IF(AND(ABS('Реестр рисков'!$G$13-0.5)&lt;0.001,ABS('Реестр рисков'!$H$13-0.5)&lt;0.001),'Реестр рисков'!$B$13&amp;" ","")&amp;IF(AND(ABS('Реестр рисков'!$G$14-0.5)&lt;0.001,ABS('Реестр рисков'!$H$14-0.5)&lt;0.001),'Реестр рисков'!$B$14&amp;" ","")&amp;IF(AND(ABS('Реестр рисков'!$G$15-0.5)&lt;0.001,ABS('Реестр рисков'!$H$15-0.5)&lt;0.001),'Реестр рисков'!$B$15&amp;" ","")&amp;IF(AND(ABS('Реестр рисков'!$G$16-0.5)&lt;0.001,ABS('Реестр рисков'!$H$16-0.5)&lt;0.001),'Реестр рисков'!$B$16&amp;" ","")&amp;IF(AND(ABS('Реестр рисков'!$G$17-0.5)&lt;0.001,ABS('Реестр рисков'!$H$17-0.5)&lt;0.001),'Реестр рисков'!$B$17&amp;" ","")&amp;IF(AND(ABS('Реестр рисков'!$G$18-0.5)&lt;0.001,ABS('Реестр рисков'!$H$18-0.5)&lt;0.001),'Реестр рисков'!$B$18&amp;" ","")&amp;IF(AND(ABS('Реестр рисков'!$G$19-0.5)&lt;0.001,ABS('Реестр рисков'!$H$19-0.5)&lt;0.001),'Реестр рисков'!$B$19&amp;" ","")&amp;IF(AND(ABS('Реестр рисков'!$G$20-0.5)&lt;0.001,ABS('Реестр рисков'!$H$20-0.5)&lt;0.001),'Реестр рисков'!$B$20&amp;" ","")&amp;IF(AND(ABS('Реестр рисков'!$G$21-0.5)&lt;0.001,ABS('Реестр рисков'!$H$21-0.5)&lt;0.001),'Реестр рисков'!$B$21&amp;" ","")&amp;IF(AND(ABS('Реестр рисков'!$G$22-0.5)&lt;0.001,ABS('Реестр рисков'!$H$22-0.5)&lt;0.001),'Реестр рисков'!$B$22&amp;" ","")&amp;IF(AND(ABS('Реестр рисков'!$G$23-0.5)&lt;0.001,ABS('Реестр рисков'!$H$23-0.5)&lt;0.001),'Реестр рисков'!$B$23&amp;" ",""))</f>
        <v>R14</v>
      </c>
      <c r="H10" s="27" t="str">
        <f aca="false">TRIM(IF(AND(ABS('Реестр рисков'!$G$5-0.6)&lt;0.001,ABS('Реестр рисков'!$H$5-0.5)&lt;0.001),'Реестр рисков'!$B$5&amp;" ","")&amp;IF(AND(ABS('Реестр рисков'!$G$6-0.6)&lt;0.001,ABS('Реестр рисков'!$H$6-0.5)&lt;0.001),'Реестр рисков'!$B$6&amp;" ","")&amp;IF(AND(ABS('Реестр рисков'!$G$7-0.6)&lt;0.001,ABS('Реестр рисков'!$H$7-0.5)&lt;0.001),'Реестр рисков'!$B$7&amp;" ","")&amp;IF(AND(ABS('Реестр рисков'!$G$8-0.6)&lt;0.001,ABS('Реестр рисков'!$H$8-0.5)&lt;0.001),'Реестр рисков'!$B$8&amp;" ","")&amp;IF(AND(ABS('Реестр рисков'!$G$9-0.6)&lt;0.001,ABS('Реестр рисков'!$H$9-0.5)&lt;0.001),'Реестр рисков'!$B$9&amp;" ","")&amp;IF(AND(ABS('Реестр рисков'!$G$10-0.6)&lt;0.001,ABS('Реестр рисков'!$H$10-0.5)&lt;0.001),'Реестр рисков'!$B$10&amp;" ","")&amp;IF(AND(ABS('Реестр рисков'!$G$11-0.6)&lt;0.001,ABS('Реестр рисков'!$H$11-0.5)&lt;0.001),'Реестр рисков'!$B$11&amp;" ","")&amp;IF(AND(ABS('Реестр рисков'!$G$12-0.6)&lt;0.001,ABS('Реестр рисков'!$H$12-0.5)&lt;0.001),'Реестр рисков'!$B$12&amp;" ","")&amp;IF(AND(ABS('Реестр рисков'!$G$13-0.6)&lt;0.001,ABS('Реестр рисков'!$H$13-0.5)&lt;0.001),'Реестр рисков'!$B$13&amp;" ","")&amp;IF(AND(ABS('Реестр рисков'!$G$14-0.6)&lt;0.001,ABS('Реестр рисков'!$H$14-0.5)&lt;0.001),'Реестр рисков'!$B$14&amp;" ","")&amp;IF(AND(ABS('Реестр рисков'!$G$15-0.6)&lt;0.001,ABS('Реестр рисков'!$H$15-0.5)&lt;0.001),'Реестр рисков'!$B$15&amp;" ","")&amp;IF(AND(ABS('Реестр рисков'!$G$16-0.6)&lt;0.001,ABS('Реестр рисков'!$H$16-0.5)&lt;0.001),'Реестр рисков'!$B$16&amp;" ","")&amp;IF(AND(ABS('Реестр рисков'!$G$17-0.6)&lt;0.001,ABS('Реестр рисков'!$H$17-0.5)&lt;0.001),'Реестр рисков'!$B$17&amp;" ","")&amp;IF(AND(ABS('Реестр рисков'!$G$18-0.6)&lt;0.001,ABS('Реестр рисков'!$H$18-0.5)&lt;0.001),'Реестр рисков'!$B$18&amp;" ","")&amp;IF(AND(ABS('Реестр рисков'!$G$19-0.6)&lt;0.001,ABS('Реестр рисков'!$H$19-0.5)&lt;0.001),'Реестр рисков'!$B$19&amp;" ","")&amp;IF(AND(ABS('Реестр рисков'!$G$20-0.6)&lt;0.001,ABS('Реестр рисков'!$H$20-0.5)&lt;0.001),'Реестр рисков'!$B$20&amp;" ","")&amp;IF(AND(ABS('Реестр рисков'!$G$21-0.6)&lt;0.001,ABS('Реестр рисков'!$H$21-0.5)&lt;0.001),'Реестр рисков'!$B$21&amp;" ","")&amp;IF(AND(ABS('Реестр рисков'!$G$22-0.6)&lt;0.001,ABS('Реестр рисков'!$H$22-0.5)&lt;0.001),'Реестр рисков'!$B$22&amp;" ","")&amp;IF(AND(ABS('Реестр рисков'!$G$23-0.6)&lt;0.001,ABS('Реестр рисков'!$H$23-0.5)&lt;0.001),'Реестр рисков'!$B$23&amp;" ",""))</f>
        <v/>
      </c>
      <c r="I10" s="27" t="str">
        <f aca="false">TRIM(IF(AND(ABS('Реестр рисков'!$G$5-0.7)&lt;0.001,ABS('Реестр рисков'!$H$5-0.5)&lt;0.001),'Реестр рисков'!$B$5&amp;" ","")&amp;IF(AND(ABS('Реестр рисков'!$G$6-0.7)&lt;0.001,ABS('Реестр рисков'!$H$6-0.5)&lt;0.001),'Реестр рисков'!$B$6&amp;" ","")&amp;IF(AND(ABS('Реестр рисков'!$G$7-0.7)&lt;0.001,ABS('Реестр рисков'!$H$7-0.5)&lt;0.001),'Реестр рисков'!$B$7&amp;" ","")&amp;IF(AND(ABS('Реестр рисков'!$G$8-0.7)&lt;0.001,ABS('Реестр рисков'!$H$8-0.5)&lt;0.001),'Реестр рисков'!$B$8&amp;" ","")&amp;IF(AND(ABS('Реестр рисков'!$G$9-0.7)&lt;0.001,ABS('Реестр рисков'!$H$9-0.5)&lt;0.001),'Реестр рисков'!$B$9&amp;" ","")&amp;IF(AND(ABS('Реестр рисков'!$G$10-0.7)&lt;0.001,ABS('Реестр рисков'!$H$10-0.5)&lt;0.001),'Реестр рисков'!$B$10&amp;" ","")&amp;IF(AND(ABS('Реестр рисков'!$G$11-0.7)&lt;0.001,ABS('Реестр рисков'!$H$11-0.5)&lt;0.001),'Реестр рисков'!$B$11&amp;" ","")&amp;IF(AND(ABS('Реестр рисков'!$G$12-0.7)&lt;0.001,ABS('Реестр рисков'!$H$12-0.5)&lt;0.001),'Реестр рисков'!$B$12&amp;" ","")&amp;IF(AND(ABS('Реестр рисков'!$G$13-0.7)&lt;0.001,ABS('Реестр рисков'!$H$13-0.5)&lt;0.001),'Реестр рисков'!$B$13&amp;" ","")&amp;IF(AND(ABS('Реестр рисков'!$G$14-0.7)&lt;0.001,ABS('Реестр рисков'!$H$14-0.5)&lt;0.001),'Реестр рисков'!$B$14&amp;" ","")&amp;IF(AND(ABS('Реестр рисков'!$G$15-0.7)&lt;0.001,ABS('Реестр рисков'!$H$15-0.5)&lt;0.001),'Реестр рисков'!$B$15&amp;" ","")&amp;IF(AND(ABS('Реестр рисков'!$G$16-0.7)&lt;0.001,ABS('Реестр рисков'!$H$16-0.5)&lt;0.001),'Реестр рисков'!$B$16&amp;" ","")&amp;IF(AND(ABS('Реестр рисков'!$G$17-0.7)&lt;0.001,ABS('Реестр рисков'!$H$17-0.5)&lt;0.001),'Реестр рисков'!$B$17&amp;" ","")&amp;IF(AND(ABS('Реестр рисков'!$G$18-0.7)&lt;0.001,ABS('Реестр рисков'!$H$18-0.5)&lt;0.001),'Реестр рисков'!$B$18&amp;" ","")&amp;IF(AND(ABS('Реестр рисков'!$G$19-0.7)&lt;0.001,ABS('Реестр рисков'!$H$19-0.5)&lt;0.001),'Реестр рисков'!$B$19&amp;" ","")&amp;IF(AND(ABS('Реестр рисков'!$G$20-0.7)&lt;0.001,ABS('Реестр рисков'!$H$20-0.5)&lt;0.001),'Реестр рисков'!$B$20&amp;" ","")&amp;IF(AND(ABS('Реестр рисков'!$G$21-0.7)&lt;0.001,ABS('Реестр рисков'!$H$21-0.5)&lt;0.001),'Реестр рисков'!$B$21&amp;" ","")&amp;IF(AND(ABS('Реестр рисков'!$G$22-0.7)&lt;0.001,ABS('Реестр рисков'!$H$22-0.5)&lt;0.001),'Реестр рисков'!$B$22&amp;" ","")&amp;IF(AND(ABS('Реестр рисков'!$G$23-0.7)&lt;0.001,ABS('Реестр рисков'!$H$23-0.5)&lt;0.001),'Реестр рисков'!$B$23&amp;" ",""))</f>
        <v/>
      </c>
      <c r="J10" s="27" t="str">
        <f aca="false">TRIM(IF(AND(ABS('Реестр рисков'!$G$5-0.8)&lt;0.001,ABS('Реестр рисков'!$H$5-0.5)&lt;0.001),'Реестр рисков'!$B$5&amp;" ","")&amp;IF(AND(ABS('Реестр рисков'!$G$6-0.8)&lt;0.001,ABS('Реестр рисков'!$H$6-0.5)&lt;0.001),'Реестр рисков'!$B$6&amp;" ","")&amp;IF(AND(ABS('Реестр рисков'!$G$7-0.8)&lt;0.001,ABS('Реестр рисков'!$H$7-0.5)&lt;0.001),'Реестр рисков'!$B$7&amp;" ","")&amp;IF(AND(ABS('Реестр рисков'!$G$8-0.8)&lt;0.001,ABS('Реестр рисков'!$H$8-0.5)&lt;0.001),'Реестр рисков'!$B$8&amp;" ","")&amp;IF(AND(ABS('Реестр рисков'!$G$9-0.8)&lt;0.001,ABS('Реестр рисков'!$H$9-0.5)&lt;0.001),'Реестр рисков'!$B$9&amp;" ","")&amp;IF(AND(ABS('Реестр рисков'!$G$10-0.8)&lt;0.001,ABS('Реестр рисков'!$H$10-0.5)&lt;0.001),'Реестр рисков'!$B$10&amp;" ","")&amp;IF(AND(ABS('Реестр рисков'!$G$11-0.8)&lt;0.001,ABS('Реестр рисков'!$H$11-0.5)&lt;0.001),'Реестр рисков'!$B$11&amp;" ","")&amp;IF(AND(ABS('Реестр рисков'!$G$12-0.8)&lt;0.001,ABS('Реестр рисков'!$H$12-0.5)&lt;0.001),'Реестр рисков'!$B$12&amp;" ","")&amp;IF(AND(ABS('Реестр рисков'!$G$13-0.8)&lt;0.001,ABS('Реестр рисков'!$H$13-0.5)&lt;0.001),'Реестр рисков'!$B$13&amp;" ","")&amp;IF(AND(ABS('Реестр рисков'!$G$14-0.8)&lt;0.001,ABS('Реестр рисков'!$H$14-0.5)&lt;0.001),'Реестр рисков'!$B$14&amp;" ","")&amp;IF(AND(ABS('Реестр рисков'!$G$15-0.8)&lt;0.001,ABS('Реестр рисков'!$H$15-0.5)&lt;0.001),'Реестр рисков'!$B$15&amp;" ","")&amp;IF(AND(ABS('Реестр рисков'!$G$16-0.8)&lt;0.001,ABS('Реестр рисков'!$H$16-0.5)&lt;0.001),'Реестр рисков'!$B$16&amp;" ","")&amp;IF(AND(ABS('Реестр рисков'!$G$17-0.8)&lt;0.001,ABS('Реестр рисков'!$H$17-0.5)&lt;0.001),'Реестр рисков'!$B$17&amp;" ","")&amp;IF(AND(ABS('Реестр рисков'!$G$18-0.8)&lt;0.001,ABS('Реестр рисков'!$H$18-0.5)&lt;0.001),'Реестр рисков'!$B$18&amp;" ","")&amp;IF(AND(ABS('Реестр рисков'!$G$19-0.8)&lt;0.001,ABS('Реестр рисков'!$H$19-0.5)&lt;0.001),'Реестр рисков'!$B$19&amp;" ","")&amp;IF(AND(ABS('Реестр рисков'!$G$20-0.8)&lt;0.001,ABS('Реестр рисков'!$H$20-0.5)&lt;0.001),'Реестр рисков'!$B$20&amp;" ","")&amp;IF(AND(ABS('Реестр рисков'!$G$21-0.8)&lt;0.001,ABS('Реестр рисков'!$H$21-0.5)&lt;0.001),'Реестр рисков'!$B$21&amp;" ","")&amp;IF(AND(ABS('Реестр рисков'!$G$22-0.8)&lt;0.001,ABS('Реестр рисков'!$H$22-0.5)&lt;0.001),'Реестр рисков'!$B$22&amp;" ","")&amp;IF(AND(ABS('Реестр рисков'!$G$23-0.8)&lt;0.001,ABS('Реестр рисков'!$H$23-0.5)&lt;0.001),'Реестр рисков'!$B$23&amp;" ",""))</f>
        <v/>
      </c>
      <c r="K10" s="27" t="str">
        <f aca="false">TRIM(IF(AND(ABS('Реестр рисков'!$G$5-0.9)&lt;0.001,ABS('Реестр рисков'!$H$5-0.5)&lt;0.001),'Реестр рисков'!$B$5&amp;" ","")&amp;IF(AND(ABS('Реестр рисков'!$G$6-0.9)&lt;0.001,ABS('Реестр рисков'!$H$6-0.5)&lt;0.001),'Реестр рисков'!$B$6&amp;" ","")&amp;IF(AND(ABS('Реестр рисков'!$G$7-0.9)&lt;0.001,ABS('Реестр рисков'!$H$7-0.5)&lt;0.001),'Реестр рисков'!$B$7&amp;" ","")&amp;IF(AND(ABS('Реестр рисков'!$G$8-0.9)&lt;0.001,ABS('Реестр рисков'!$H$8-0.5)&lt;0.001),'Реестр рисков'!$B$8&amp;" ","")&amp;IF(AND(ABS('Реестр рисков'!$G$9-0.9)&lt;0.001,ABS('Реестр рисков'!$H$9-0.5)&lt;0.001),'Реестр рисков'!$B$9&amp;" ","")&amp;IF(AND(ABS('Реестр рисков'!$G$10-0.9)&lt;0.001,ABS('Реестр рисков'!$H$10-0.5)&lt;0.001),'Реестр рисков'!$B$10&amp;" ","")&amp;IF(AND(ABS('Реестр рисков'!$G$11-0.9)&lt;0.001,ABS('Реестр рисков'!$H$11-0.5)&lt;0.001),'Реестр рисков'!$B$11&amp;" ","")&amp;IF(AND(ABS('Реестр рисков'!$G$12-0.9)&lt;0.001,ABS('Реестр рисков'!$H$12-0.5)&lt;0.001),'Реестр рисков'!$B$12&amp;" ","")&amp;IF(AND(ABS('Реестр рисков'!$G$13-0.9)&lt;0.001,ABS('Реестр рисков'!$H$13-0.5)&lt;0.001),'Реестр рисков'!$B$13&amp;" ","")&amp;IF(AND(ABS('Реестр рисков'!$G$14-0.9)&lt;0.001,ABS('Реестр рисков'!$H$14-0.5)&lt;0.001),'Реестр рисков'!$B$14&amp;" ","")&amp;IF(AND(ABS('Реестр рисков'!$G$15-0.9)&lt;0.001,ABS('Реестр рисков'!$H$15-0.5)&lt;0.001),'Реестр рисков'!$B$15&amp;" ","")&amp;IF(AND(ABS('Реестр рисков'!$G$16-0.9)&lt;0.001,ABS('Реестр рисков'!$H$16-0.5)&lt;0.001),'Реестр рисков'!$B$16&amp;" ","")&amp;IF(AND(ABS('Реестр рисков'!$G$17-0.9)&lt;0.001,ABS('Реестр рисков'!$H$17-0.5)&lt;0.001),'Реестр рисков'!$B$17&amp;" ","")&amp;IF(AND(ABS('Реестр рисков'!$G$18-0.9)&lt;0.001,ABS('Реестр рисков'!$H$18-0.5)&lt;0.001),'Реестр рисков'!$B$18&amp;" ","")&amp;IF(AND(ABS('Реестр рисков'!$G$19-0.9)&lt;0.001,ABS('Реестр рисков'!$H$19-0.5)&lt;0.001),'Реестр рисков'!$B$19&amp;" ","")&amp;IF(AND(ABS('Реестр рисков'!$G$20-0.9)&lt;0.001,ABS('Реестр рисков'!$H$20-0.5)&lt;0.001),'Реестр рисков'!$B$20&amp;" ","")&amp;IF(AND(ABS('Реестр рисков'!$G$21-0.9)&lt;0.001,ABS('Реестр рисков'!$H$21-0.5)&lt;0.001),'Реестр рисков'!$B$21&amp;" ","")&amp;IF(AND(ABS('Реестр рисков'!$G$22-0.9)&lt;0.001,ABS('Реестр рисков'!$H$22-0.5)&lt;0.001),'Реестр рисков'!$B$22&amp;" ","")&amp;IF(AND(ABS('Реестр рисков'!$G$23-0.9)&lt;0.001,ABS('Реестр рисков'!$H$23-0.5)&lt;0.001),'Реестр рисков'!$B$23&amp;" ",""))</f>
        <v/>
      </c>
      <c r="L10" s="27" t="str">
        <f aca="false">TRIM(IF(AND(ABS('Реестр рисков'!$G$5-1)&lt;0.001,ABS('Реестр рисков'!$H$5-0.5)&lt;0.001),'Реестр рисков'!$B$5&amp;" ","")&amp;IF(AND(ABS('Реестр рисков'!$G$6-1)&lt;0.001,ABS('Реестр рисков'!$H$6-0.5)&lt;0.001),'Реестр рисков'!$B$6&amp;" ","")&amp;IF(AND(ABS('Реестр рисков'!$G$7-1)&lt;0.001,ABS('Реестр рисков'!$H$7-0.5)&lt;0.001),'Реестр рисков'!$B$7&amp;" ","")&amp;IF(AND(ABS('Реестр рисков'!$G$8-1)&lt;0.001,ABS('Реестр рисков'!$H$8-0.5)&lt;0.001),'Реестр рисков'!$B$8&amp;" ","")&amp;IF(AND(ABS('Реестр рисков'!$G$9-1)&lt;0.001,ABS('Реестр рисков'!$H$9-0.5)&lt;0.001),'Реестр рисков'!$B$9&amp;" ","")&amp;IF(AND(ABS('Реестр рисков'!$G$10-1)&lt;0.001,ABS('Реестр рисков'!$H$10-0.5)&lt;0.001),'Реестр рисков'!$B$10&amp;" ","")&amp;IF(AND(ABS('Реестр рисков'!$G$11-1)&lt;0.001,ABS('Реестр рисков'!$H$11-0.5)&lt;0.001),'Реестр рисков'!$B$11&amp;" ","")&amp;IF(AND(ABS('Реестр рисков'!$G$12-1)&lt;0.001,ABS('Реестр рисков'!$H$12-0.5)&lt;0.001),'Реестр рисков'!$B$12&amp;" ","")&amp;IF(AND(ABS('Реестр рисков'!$G$13-1)&lt;0.001,ABS('Реестр рисков'!$H$13-0.5)&lt;0.001),'Реестр рисков'!$B$13&amp;" ","")&amp;IF(AND(ABS('Реестр рисков'!$G$14-1)&lt;0.001,ABS('Реестр рисков'!$H$14-0.5)&lt;0.001),'Реестр рисков'!$B$14&amp;" ","")&amp;IF(AND(ABS('Реестр рисков'!$G$15-1)&lt;0.001,ABS('Реестр рисков'!$H$15-0.5)&lt;0.001),'Реестр рисков'!$B$15&amp;" ","")&amp;IF(AND(ABS('Реестр рисков'!$G$16-1)&lt;0.001,ABS('Реестр рисков'!$H$16-0.5)&lt;0.001),'Реестр рисков'!$B$16&amp;" ","")&amp;IF(AND(ABS('Реестр рисков'!$G$17-1)&lt;0.001,ABS('Реестр рисков'!$H$17-0.5)&lt;0.001),'Реестр рисков'!$B$17&amp;" ","")&amp;IF(AND(ABS('Реестр рисков'!$G$18-1)&lt;0.001,ABS('Реестр рисков'!$H$18-0.5)&lt;0.001),'Реестр рисков'!$B$18&amp;" ","")&amp;IF(AND(ABS('Реестр рисков'!$G$19-1)&lt;0.001,ABS('Реестр рисков'!$H$19-0.5)&lt;0.001),'Реестр рисков'!$B$19&amp;" ","")&amp;IF(AND(ABS('Реестр рисков'!$G$20-1)&lt;0.001,ABS('Реестр рисков'!$H$20-0.5)&lt;0.001),'Реестр рисков'!$B$20&amp;" ","")&amp;IF(AND(ABS('Реестр рисков'!$G$21-1)&lt;0.001,ABS('Реестр рисков'!$H$21-0.5)&lt;0.001),'Реестр рисков'!$B$21&amp;" ","")&amp;IF(AND(ABS('Реестр рисков'!$G$22-1)&lt;0.001,ABS('Реестр рисков'!$H$22-0.5)&lt;0.001),'Реестр рисков'!$B$22&amp;" ","")&amp;IF(AND(ABS('Реестр рисков'!$G$23-1)&lt;0.001,ABS('Реестр рисков'!$H$23-0.5)&lt;0.001),'Реестр рисков'!$B$23&amp;" ",""))</f>
        <v/>
      </c>
    </row>
    <row r="11" customFormat="false" ht="30" hidden="false" customHeight="true" outlineLevel="0" collapsed="false">
      <c r="A11" s="24"/>
      <c r="B11" s="25" t="n">
        <v>0.4</v>
      </c>
      <c r="C11" s="26" t="str">
        <f aca="false">TRIM(IF(AND(ABS('Реестр рисков'!$G$5-0.1)&lt;0.001,ABS('Реестр рисков'!$H$5-0.4)&lt;0.001),'Реестр рисков'!$B$5&amp;" ","")&amp;IF(AND(ABS('Реестр рисков'!$G$6-0.1)&lt;0.001,ABS('Реестр рисков'!$H$6-0.4)&lt;0.001),'Реестр рисков'!$B$6&amp;" ","")&amp;IF(AND(ABS('Реестр рисков'!$G$7-0.1)&lt;0.001,ABS('Реестр рисков'!$H$7-0.4)&lt;0.001),'Реестр рисков'!$B$7&amp;" ","")&amp;IF(AND(ABS('Реестр рисков'!$G$8-0.1)&lt;0.001,ABS('Реестр рисков'!$H$8-0.4)&lt;0.001),'Реестр рисков'!$B$8&amp;" ","")&amp;IF(AND(ABS('Реестр рисков'!$G$9-0.1)&lt;0.001,ABS('Реестр рисков'!$H$9-0.4)&lt;0.001),'Реестр рисков'!$B$9&amp;" ","")&amp;IF(AND(ABS('Реестр рисков'!$G$10-0.1)&lt;0.001,ABS('Реестр рисков'!$H$10-0.4)&lt;0.001),'Реестр рисков'!$B$10&amp;" ","")&amp;IF(AND(ABS('Реестр рисков'!$G$11-0.1)&lt;0.001,ABS('Реестр рисков'!$H$11-0.4)&lt;0.001),'Реестр рисков'!$B$11&amp;" ","")&amp;IF(AND(ABS('Реестр рисков'!$G$12-0.1)&lt;0.001,ABS('Реестр рисков'!$H$12-0.4)&lt;0.001),'Реестр рисков'!$B$12&amp;" ","")&amp;IF(AND(ABS('Реестр рисков'!$G$13-0.1)&lt;0.001,ABS('Реестр рисков'!$H$13-0.4)&lt;0.001),'Реестр рисков'!$B$13&amp;" ","")&amp;IF(AND(ABS('Реестр рисков'!$G$14-0.1)&lt;0.001,ABS('Реестр рисков'!$H$14-0.4)&lt;0.001),'Реестр рисков'!$B$14&amp;" ","")&amp;IF(AND(ABS('Реестр рисков'!$G$15-0.1)&lt;0.001,ABS('Реестр рисков'!$H$15-0.4)&lt;0.001),'Реестр рисков'!$B$15&amp;" ","")&amp;IF(AND(ABS('Реестр рисков'!$G$16-0.1)&lt;0.001,ABS('Реестр рисков'!$H$16-0.4)&lt;0.001),'Реестр рисков'!$B$16&amp;" ","")&amp;IF(AND(ABS('Реестр рисков'!$G$17-0.1)&lt;0.001,ABS('Реестр рисков'!$H$17-0.4)&lt;0.001),'Реестр рисков'!$B$17&amp;" ","")&amp;IF(AND(ABS('Реестр рисков'!$G$18-0.1)&lt;0.001,ABS('Реестр рисков'!$H$18-0.4)&lt;0.001),'Реестр рисков'!$B$18&amp;" ","")&amp;IF(AND(ABS('Реестр рисков'!$G$19-0.1)&lt;0.001,ABS('Реестр рисков'!$H$19-0.4)&lt;0.001),'Реестр рисков'!$B$19&amp;" ","")&amp;IF(AND(ABS('Реестр рисков'!$G$20-0.1)&lt;0.001,ABS('Реестр рисков'!$H$20-0.4)&lt;0.001),'Реестр рисков'!$B$20&amp;" ","")&amp;IF(AND(ABS('Реестр рисков'!$G$21-0.1)&lt;0.001,ABS('Реестр рисков'!$H$21-0.4)&lt;0.001),'Реестр рисков'!$B$21&amp;" ","")&amp;IF(AND(ABS('Реестр рисков'!$G$22-0.1)&lt;0.001,ABS('Реестр рисков'!$H$22-0.4)&lt;0.001),'Реестр рисков'!$B$22&amp;" ","")&amp;IF(AND(ABS('Реестр рисков'!$G$23-0.1)&lt;0.001,ABS('Реестр рисков'!$H$23-0.4)&lt;0.001),'Реестр рисков'!$B$23&amp;" ",""))</f>
        <v/>
      </c>
      <c r="D11" s="26" t="str">
        <f aca="false">TRIM(IF(AND(ABS('Реестр рисков'!$G$5-0.2)&lt;0.001,ABS('Реестр рисков'!$H$5-0.4)&lt;0.001),'Реестр рисков'!$B$5&amp;" ","")&amp;IF(AND(ABS('Реестр рисков'!$G$6-0.2)&lt;0.001,ABS('Реестр рисков'!$H$6-0.4)&lt;0.001),'Реестр рисков'!$B$6&amp;" ","")&amp;IF(AND(ABS('Реестр рисков'!$G$7-0.2)&lt;0.001,ABS('Реестр рисков'!$H$7-0.4)&lt;0.001),'Реестр рисков'!$B$7&amp;" ","")&amp;IF(AND(ABS('Реестр рисков'!$G$8-0.2)&lt;0.001,ABS('Реестр рисков'!$H$8-0.4)&lt;0.001),'Реестр рисков'!$B$8&amp;" ","")&amp;IF(AND(ABS('Реестр рисков'!$G$9-0.2)&lt;0.001,ABS('Реестр рисков'!$H$9-0.4)&lt;0.001),'Реестр рисков'!$B$9&amp;" ","")&amp;IF(AND(ABS('Реестр рисков'!$G$10-0.2)&lt;0.001,ABS('Реестр рисков'!$H$10-0.4)&lt;0.001),'Реестр рисков'!$B$10&amp;" ","")&amp;IF(AND(ABS('Реестр рисков'!$G$11-0.2)&lt;0.001,ABS('Реестр рисков'!$H$11-0.4)&lt;0.001),'Реестр рисков'!$B$11&amp;" ","")&amp;IF(AND(ABS('Реестр рисков'!$G$12-0.2)&lt;0.001,ABS('Реестр рисков'!$H$12-0.4)&lt;0.001),'Реестр рисков'!$B$12&amp;" ","")&amp;IF(AND(ABS('Реестр рисков'!$G$13-0.2)&lt;0.001,ABS('Реестр рисков'!$H$13-0.4)&lt;0.001),'Реестр рисков'!$B$13&amp;" ","")&amp;IF(AND(ABS('Реестр рисков'!$G$14-0.2)&lt;0.001,ABS('Реестр рисков'!$H$14-0.4)&lt;0.001),'Реестр рисков'!$B$14&amp;" ","")&amp;IF(AND(ABS('Реестр рисков'!$G$15-0.2)&lt;0.001,ABS('Реестр рисков'!$H$15-0.4)&lt;0.001),'Реестр рисков'!$B$15&amp;" ","")&amp;IF(AND(ABS('Реестр рисков'!$G$16-0.2)&lt;0.001,ABS('Реестр рисков'!$H$16-0.4)&lt;0.001),'Реестр рисков'!$B$16&amp;" ","")&amp;IF(AND(ABS('Реестр рисков'!$G$17-0.2)&lt;0.001,ABS('Реестр рисков'!$H$17-0.4)&lt;0.001),'Реестр рисков'!$B$17&amp;" ","")&amp;IF(AND(ABS('Реестр рисков'!$G$18-0.2)&lt;0.001,ABS('Реестр рисков'!$H$18-0.4)&lt;0.001),'Реестр рисков'!$B$18&amp;" ","")&amp;IF(AND(ABS('Реестр рисков'!$G$19-0.2)&lt;0.001,ABS('Реестр рисков'!$H$19-0.4)&lt;0.001),'Реестр рисков'!$B$19&amp;" ","")&amp;IF(AND(ABS('Реестр рисков'!$G$20-0.2)&lt;0.001,ABS('Реестр рисков'!$H$20-0.4)&lt;0.001),'Реестр рисков'!$B$20&amp;" ","")&amp;IF(AND(ABS('Реестр рисков'!$G$21-0.2)&lt;0.001,ABS('Реестр рисков'!$H$21-0.4)&lt;0.001),'Реестр рисков'!$B$21&amp;" ","")&amp;IF(AND(ABS('Реестр рисков'!$G$22-0.2)&lt;0.001,ABS('Реестр рисков'!$H$22-0.4)&lt;0.001),'Реестр рисков'!$B$22&amp;" ","")&amp;IF(AND(ABS('Реестр рисков'!$G$23-0.2)&lt;0.001,ABS('Реестр рисков'!$H$23-0.4)&lt;0.001),'Реестр рисков'!$B$23&amp;" ",""))</f>
        <v/>
      </c>
      <c r="E11" s="26" t="str">
        <f aca="false">TRIM(IF(AND(ABS('Реестр рисков'!$G$5-0.3)&lt;0.001,ABS('Реестр рисков'!$H$5-0.4)&lt;0.001),'Реестр рисков'!$B$5&amp;" ","")&amp;IF(AND(ABS('Реестр рисков'!$G$6-0.3)&lt;0.001,ABS('Реестр рисков'!$H$6-0.4)&lt;0.001),'Реестр рисков'!$B$6&amp;" ","")&amp;IF(AND(ABS('Реестр рисков'!$G$7-0.3)&lt;0.001,ABS('Реестр рисков'!$H$7-0.4)&lt;0.001),'Реестр рисков'!$B$7&amp;" ","")&amp;IF(AND(ABS('Реестр рисков'!$G$8-0.3)&lt;0.001,ABS('Реестр рисков'!$H$8-0.4)&lt;0.001),'Реестр рисков'!$B$8&amp;" ","")&amp;IF(AND(ABS('Реестр рисков'!$G$9-0.3)&lt;0.001,ABS('Реестр рисков'!$H$9-0.4)&lt;0.001),'Реестр рисков'!$B$9&amp;" ","")&amp;IF(AND(ABS('Реестр рисков'!$G$10-0.3)&lt;0.001,ABS('Реестр рисков'!$H$10-0.4)&lt;0.001),'Реестр рисков'!$B$10&amp;" ","")&amp;IF(AND(ABS('Реестр рисков'!$G$11-0.3)&lt;0.001,ABS('Реестр рисков'!$H$11-0.4)&lt;0.001),'Реестр рисков'!$B$11&amp;" ","")&amp;IF(AND(ABS('Реестр рисков'!$G$12-0.3)&lt;0.001,ABS('Реестр рисков'!$H$12-0.4)&lt;0.001),'Реестр рисков'!$B$12&amp;" ","")&amp;IF(AND(ABS('Реестр рисков'!$G$13-0.3)&lt;0.001,ABS('Реестр рисков'!$H$13-0.4)&lt;0.001),'Реестр рисков'!$B$13&amp;" ","")&amp;IF(AND(ABS('Реестр рисков'!$G$14-0.3)&lt;0.001,ABS('Реестр рисков'!$H$14-0.4)&lt;0.001),'Реестр рисков'!$B$14&amp;" ","")&amp;IF(AND(ABS('Реестр рисков'!$G$15-0.3)&lt;0.001,ABS('Реестр рисков'!$H$15-0.4)&lt;0.001),'Реестр рисков'!$B$15&amp;" ","")&amp;IF(AND(ABS('Реестр рисков'!$G$16-0.3)&lt;0.001,ABS('Реестр рисков'!$H$16-0.4)&lt;0.001),'Реестр рисков'!$B$16&amp;" ","")&amp;IF(AND(ABS('Реестр рисков'!$G$17-0.3)&lt;0.001,ABS('Реестр рисков'!$H$17-0.4)&lt;0.001),'Реестр рисков'!$B$17&amp;" ","")&amp;IF(AND(ABS('Реестр рисков'!$G$18-0.3)&lt;0.001,ABS('Реестр рисков'!$H$18-0.4)&lt;0.001),'Реестр рисков'!$B$18&amp;" ","")&amp;IF(AND(ABS('Реестр рисков'!$G$19-0.3)&lt;0.001,ABS('Реестр рисков'!$H$19-0.4)&lt;0.001),'Реестр рисков'!$B$19&amp;" ","")&amp;IF(AND(ABS('Реестр рисков'!$G$20-0.3)&lt;0.001,ABS('Реестр рисков'!$H$20-0.4)&lt;0.001),'Реестр рисков'!$B$20&amp;" ","")&amp;IF(AND(ABS('Реестр рисков'!$G$21-0.3)&lt;0.001,ABS('Реестр рисков'!$H$21-0.4)&lt;0.001),'Реестр рисков'!$B$21&amp;" ","")&amp;IF(AND(ABS('Реестр рисков'!$G$22-0.3)&lt;0.001,ABS('Реестр рисков'!$H$22-0.4)&lt;0.001),'Реестр рисков'!$B$22&amp;" ","")&amp;IF(AND(ABS('Реестр рисков'!$G$23-0.3)&lt;0.001,ABS('Реестр рисков'!$H$23-0.4)&lt;0.001),'Реестр рисков'!$B$23&amp;" ",""))</f>
        <v/>
      </c>
      <c r="F11" s="27" t="str">
        <f aca="false">TRIM(IF(AND(ABS('Реестр рисков'!$G$5-0.4)&lt;0.001,ABS('Реестр рисков'!$H$5-0.4)&lt;0.001),'Реестр рисков'!$B$5&amp;" ","")&amp;IF(AND(ABS('Реестр рисков'!$G$6-0.4)&lt;0.001,ABS('Реестр рисков'!$H$6-0.4)&lt;0.001),'Реестр рисков'!$B$6&amp;" ","")&amp;IF(AND(ABS('Реестр рисков'!$G$7-0.4)&lt;0.001,ABS('Реестр рисков'!$H$7-0.4)&lt;0.001),'Реестр рисков'!$B$7&amp;" ","")&amp;IF(AND(ABS('Реестр рисков'!$G$8-0.4)&lt;0.001,ABS('Реестр рисков'!$H$8-0.4)&lt;0.001),'Реестр рисков'!$B$8&amp;" ","")&amp;IF(AND(ABS('Реестр рисков'!$G$9-0.4)&lt;0.001,ABS('Реестр рисков'!$H$9-0.4)&lt;0.001),'Реестр рисков'!$B$9&amp;" ","")&amp;IF(AND(ABS('Реестр рисков'!$G$10-0.4)&lt;0.001,ABS('Реестр рисков'!$H$10-0.4)&lt;0.001),'Реестр рисков'!$B$10&amp;" ","")&amp;IF(AND(ABS('Реестр рисков'!$G$11-0.4)&lt;0.001,ABS('Реестр рисков'!$H$11-0.4)&lt;0.001),'Реестр рисков'!$B$11&amp;" ","")&amp;IF(AND(ABS('Реестр рисков'!$G$12-0.4)&lt;0.001,ABS('Реестр рисков'!$H$12-0.4)&lt;0.001),'Реестр рисков'!$B$12&amp;" ","")&amp;IF(AND(ABS('Реестр рисков'!$G$13-0.4)&lt;0.001,ABS('Реестр рисков'!$H$13-0.4)&lt;0.001),'Реестр рисков'!$B$13&amp;" ","")&amp;IF(AND(ABS('Реестр рисков'!$G$14-0.4)&lt;0.001,ABS('Реестр рисков'!$H$14-0.4)&lt;0.001),'Реестр рисков'!$B$14&amp;" ","")&amp;IF(AND(ABS('Реестр рисков'!$G$15-0.4)&lt;0.001,ABS('Реестр рисков'!$H$15-0.4)&lt;0.001),'Реестр рисков'!$B$15&amp;" ","")&amp;IF(AND(ABS('Реестр рисков'!$G$16-0.4)&lt;0.001,ABS('Реестр рисков'!$H$16-0.4)&lt;0.001),'Реестр рисков'!$B$16&amp;" ","")&amp;IF(AND(ABS('Реестр рисков'!$G$17-0.4)&lt;0.001,ABS('Реестр рисков'!$H$17-0.4)&lt;0.001),'Реестр рисков'!$B$17&amp;" ","")&amp;IF(AND(ABS('Реестр рисков'!$G$18-0.4)&lt;0.001,ABS('Реестр рисков'!$H$18-0.4)&lt;0.001),'Реестр рисков'!$B$18&amp;" ","")&amp;IF(AND(ABS('Реестр рисков'!$G$19-0.4)&lt;0.001,ABS('Реестр рисков'!$H$19-0.4)&lt;0.001),'Реестр рисков'!$B$19&amp;" ","")&amp;IF(AND(ABS('Реестр рисков'!$G$20-0.4)&lt;0.001,ABS('Реестр рисков'!$H$20-0.4)&lt;0.001),'Реестр рисков'!$B$20&amp;" ","")&amp;IF(AND(ABS('Реестр рисков'!$G$21-0.4)&lt;0.001,ABS('Реестр рисков'!$H$21-0.4)&lt;0.001),'Реестр рисков'!$B$21&amp;" ","")&amp;IF(AND(ABS('Реестр рисков'!$G$22-0.4)&lt;0.001,ABS('Реестр рисков'!$H$22-0.4)&lt;0.001),'Реестр рисков'!$B$22&amp;" ","")&amp;IF(AND(ABS('Реестр рисков'!$G$23-0.4)&lt;0.001,ABS('Реестр рисков'!$H$23-0.4)&lt;0.001),'Реестр рисков'!$B$23&amp;" ",""))</f>
        <v/>
      </c>
      <c r="G11" s="27" t="str">
        <f aca="false">TRIM(IF(AND(ABS('Реестр рисков'!$G$5-0.5)&lt;0.001,ABS('Реестр рисков'!$H$5-0.4)&lt;0.001),'Реестр рисков'!$B$5&amp;" ","")&amp;IF(AND(ABS('Реестр рисков'!$G$6-0.5)&lt;0.001,ABS('Реестр рисков'!$H$6-0.4)&lt;0.001),'Реестр рисков'!$B$6&amp;" ","")&amp;IF(AND(ABS('Реестр рисков'!$G$7-0.5)&lt;0.001,ABS('Реестр рисков'!$H$7-0.4)&lt;0.001),'Реестр рисков'!$B$7&amp;" ","")&amp;IF(AND(ABS('Реестр рисков'!$G$8-0.5)&lt;0.001,ABS('Реестр рисков'!$H$8-0.4)&lt;0.001),'Реестр рисков'!$B$8&amp;" ","")&amp;IF(AND(ABS('Реестр рисков'!$G$9-0.5)&lt;0.001,ABS('Реестр рисков'!$H$9-0.4)&lt;0.001),'Реестр рисков'!$B$9&amp;" ","")&amp;IF(AND(ABS('Реестр рисков'!$G$10-0.5)&lt;0.001,ABS('Реестр рисков'!$H$10-0.4)&lt;0.001),'Реестр рисков'!$B$10&amp;" ","")&amp;IF(AND(ABS('Реестр рисков'!$G$11-0.5)&lt;0.001,ABS('Реестр рисков'!$H$11-0.4)&lt;0.001),'Реестр рисков'!$B$11&amp;" ","")&amp;IF(AND(ABS('Реестр рисков'!$G$12-0.5)&lt;0.001,ABS('Реестр рисков'!$H$12-0.4)&lt;0.001),'Реестр рисков'!$B$12&amp;" ","")&amp;IF(AND(ABS('Реестр рисков'!$G$13-0.5)&lt;0.001,ABS('Реестр рисков'!$H$13-0.4)&lt;0.001),'Реестр рисков'!$B$13&amp;" ","")&amp;IF(AND(ABS('Реестр рисков'!$G$14-0.5)&lt;0.001,ABS('Реестр рисков'!$H$14-0.4)&lt;0.001),'Реестр рисков'!$B$14&amp;" ","")&amp;IF(AND(ABS('Реестр рисков'!$G$15-0.5)&lt;0.001,ABS('Реестр рисков'!$H$15-0.4)&lt;0.001),'Реестр рисков'!$B$15&amp;" ","")&amp;IF(AND(ABS('Реестр рисков'!$G$16-0.5)&lt;0.001,ABS('Реестр рисков'!$H$16-0.4)&lt;0.001),'Реестр рисков'!$B$16&amp;" ","")&amp;IF(AND(ABS('Реестр рисков'!$G$17-0.5)&lt;0.001,ABS('Реестр рисков'!$H$17-0.4)&lt;0.001),'Реестр рисков'!$B$17&amp;" ","")&amp;IF(AND(ABS('Реестр рисков'!$G$18-0.5)&lt;0.001,ABS('Реестр рисков'!$H$18-0.4)&lt;0.001),'Реестр рисков'!$B$18&amp;" ","")&amp;IF(AND(ABS('Реестр рисков'!$G$19-0.5)&lt;0.001,ABS('Реестр рисков'!$H$19-0.4)&lt;0.001),'Реестр рисков'!$B$19&amp;" ","")&amp;IF(AND(ABS('Реестр рисков'!$G$20-0.5)&lt;0.001,ABS('Реестр рисков'!$H$20-0.4)&lt;0.001),'Реестр рисков'!$B$20&amp;" ","")&amp;IF(AND(ABS('Реестр рисков'!$G$21-0.5)&lt;0.001,ABS('Реестр рисков'!$H$21-0.4)&lt;0.001),'Реестр рисков'!$B$21&amp;" ","")&amp;IF(AND(ABS('Реестр рисков'!$G$22-0.5)&lt;0.001,ABS('Реестр рисков'!$H$22-0.4)&lt;0.001),'Реестр рисков'!$B$22&amp;" ","")&amp;IF(AND(ABS('Реестр рисков'!$G$23-0.5)&lt;0.001,ABS('Реестр рисков'!$H$23-0.4)&lt;0.001),'Реестр рисков'!$B$23&amp;" ",""))</f>
        <v/>
      </c>
      <c r="H11" s="27" t="str">
        <f aca="false">TRIM(IF(AND(ABS('Реестр рисков'!$G$5-0.6)&lt;0.001,ABS('Реестр рисков'!$H$5-0.4)&lt;0.001),'Реестр рисков'!$B$5&amp;" ","")&amp;IF(AND(ABS('Реестр рисков'!$G$6-0.6)&lt;0.001,ABS('Реестр рисков'!$H$6-0.4)&lt;0.001),'Реестр рисков'!$B$6&amp;" ","")&amp;IF(AND(ABS('Реестр рисков'!$G$7-0.6)&lt;0.001,ABS('Реестр рисков'!$H$7-0.4)&lt;0.001),'Реестр рисков'!$B$7&amp;" ","")&amp;IF(AND(ABS('Реестр рисков'!$G$8-0.6)&lt;0.001,ABS('Реестр рисков'!$H$8-0.4)&lt;0.001),'Реестр рисков'!$B$8&amp;" ","")&amp;IF(AND(ABS('Реестр рисков'!$G$9-0.6)&lt;0.001,ABS('Реестр рисков'!$H$9-0.4)&lt;0.001),'Реестр рисков'!$B$9&amp;" ","")&amp;IF(AND(ABS('Реестр рисков'!$G$10-0.6)&lt;0.001,ABS('Реестр рисков'!$H$10-0.4)&lt;0.001),'Реестр рисков'!$B$10&amp;" ","")&amp;IF(AND(ABS('Реестр рисков'!$G$11-0.6)&lt;0.001,ABS('Реестр рисков'!$H$11-0.4)&lt;0.001),'Реестр рисков'!$B$11&amp;" ","")&amp;IF(AND(ABS('Реестр рисков'!$G$12-0.6)&lt;0.001,ABS('Реестр рисков'!$H$12-0.4)&lt;0.001),'Реестр рисков'!$B$12&amp;" ","")&amp;IF(AND(ABS('Реестр рисков'!$G$13-0.6)&lt;0.001,ABS('Реестр рисков'!$H$13-0.4)&lt;0.001),'Реестр рисков'!$B$13&amp;" ","")&amp;IF(AND(ABS('Реестр рисков'!$G$14-0.6)&lt;0.001,ABS('Реестр рисков'!$H$14-0.4)&lt;0.001),'Реестр рисков'!$B$14&amp;" ","")&amp;IF(AND(ABS('Реестр рисков'!$G$15-0.6)&lt;0.001,ABS('Реестр рисков'!$H$15-0.4)&lt;0.001),'Реестр рисков'!$B$15&amp;" ","")&amp;IF(AND(ABS('Реестр рисков'!$G$16-0.6)&lt;0.001,ABS('Реестр рисков'!$H$16-0.4)&lt;0.001),'Реестр рисков'!$B$16&amp;" ","")&amp;IF(AND(ABS('Реестр рисков'!$G$17-0.6)&lt;0.001,ABS('Реестр рисков'!$H$17-0.4)&lt;0.001),'Реестр рисков'!$B$17&amp;" ","")&amp;IF(AND(ABS('Реестр рисков'!$G$18-0.6)&lt;0.001,ABS('Реестр рисков'!$H$18-0.4)&lt;0.001),'Реестр рисков'!$B$18&amp;" ","")&amp;IF(AND(ABS('Реестр рисков'!$G$19-0.6)&lt;0.001,ABS('Реестр рисков'!$H$19-0.4)&lt;0.001),'Реестр рисков'!$B$19&amp;" ","")&amp;IF(AND(ABS('Реестр рисков'!$G$20-0.6)&lt;0.001,ABS('Реестр рисков'!$H$20-0.4)&lt;0.001),'Реестр рисков'!$B$20&amp;" ","")&amp;IF(AND(ABS('Реестр рисков'!$G$21-0.6)&lt;0.001,ABS('Реестр рисков'!$H$21-0.4)&lt;0.001),'Реестр рисков'!$B$21&amp;" ","")&amp;IF(AND(ABS('Реестр рисков'!$G$22-0.6)&lt;0.001,ABS('Реестр рисков'!$H$22-0.4)&lt;0.001),'Реестр рисков'!$B$22&amp;" ","")&amp;IF(AND(ABS('Реестр рисков'!$G$23-0.6)&lt;0.001,ABS('Реестр рисков'!$H$23-0.4)&lt;0.001),'Реестр рисков'!$B$23&amp;" ",""))</f>
        <v>R15</v>
      </c>
      <c r="I11" s="27" t="str">
        <f aca="false">TRIM(IF(AND(ABS('Реестр рисков'!$G$5-0.7)&lt;0.001,ABS('Реестр рисков'!$H$5-0.4)&lt;0.001),'Реестр рисков'!$B$5&amp;" ","")&amp;IF(AND(ABS('Реестр рисков'!$G$6-0.7)&lt;0.001,ABS('Реестр рисков'!$H$6-0.4)&lt;0.001),'Реестр рисков'!$B$6&amp;" ","")&amp;IF(AND(ABS('Реестр рисков'!$G$7-0.7)&lt;0.001,ABS('Реестр рисков'!$H$7-0.4)&lt;0.001),'Реестр рисков'!$B$7&amp;" ","")&amp;IF(AND(ABS('Реестр рисков'!$G$8-0.7)&lt;0.001,ABS('Реестр рисков'!$H$8-0.4)&lt;0.001),'Реестр рисков'!$B$8&amp;" ","")&amp;IF(AND(ABS('Реестр рисков'!$G$9-0.7)&lt;0.001,ABS('Реестр рисков'!$H$9-0.4)&lt;0.001),'Реестр рисков'!$B$9&amp;" ","")&amp;IF(AND(ABS('Реестр рисков'!$G$10-0.7)&lt;0.001,ABS('Реестр рисков'!$H$10-0.4)&lt;0.001),'Реестр рисков'!$B$10&amp;" ","")&amp;IF(AND(ABS('Реестр рисков'!$G$11-0.7)&lt;0.001,ABS('Реестр рисков'!$H$11-0.4)&lt;0.001),'Реестр рисков'!$B$11&amp;" ","")&amp;IF(AND(ABS('Реестр рисков'!$G$12-0.7)&lt;0.001,ABS('Реестр рисков'!$H$12-0.4)&lt;0.001),'Реестр рисков'!$B$12&amp;" ","")&amp;IF(AND(ABS('Реестр рисков'!$G$13-0.7)&lt;0.001,ABS('Реестр рисков'!$H$13-0.4)&lt;0.001),'Реестр рисков'!$B$13&amp;" ","")&amp;IF(AND(ABS('Реестр рисков'!$G$14-0.7)&lt;0.001,ABS('Реестр рисков'!$H$14-0.4)&lt;0.001),'Реестр рисков'!$B$14&amp;" ","")&amp;IF(AND(ABS('Реестр рисков'!$G$15-0.7)&lt;0.001,ABS('Реестр рисков'!$H$15-0.4)&lt;0.001),'Реестр рисков'!$B$15&amp;" ","")&amp;IF(AND(ABS('Реестр рисков'!$G$16-0.7)&lt;0.001,ABS('Реестр рисков'!$H$16-0.4)&lt;0.001),'Реестр рисков'!$B$16&amp;" ","")&amp;IF(AND(ABS('Реестр рисков'!$G$17-0.7)&lt;0.001,ABS('Реестр рисков'!$H$17-0.4)&lt;0.001),'Реестр рисков'!$B$17&amp;" ","")&amp;IF(AND(ABS('Реестр рисков'!$G$18-0.7)&lt;0.001,ABS('Реестр рисков'!$H$18-0.4)&lt;0.001),'Реестр рисков'!$B$18&amp;" ","")&amp;IF(AND(ABS('Реестр рисков'!$G$19-0.7)&lt;0.001,ABS('Реестр рисков'!$H$19-0.4)&lt;0.001),'Реестр рисков'!$B$19&amp;" ","")&amp;IF(AND(ABS('Реестр рисков'!$G$20-0.7)&lt;0.001,ABS('Реестр рисков'!$H$20-0.4)&lt;0.001),'Реестр рисков'!$B$20&amp;" ","")&amp;IF(AND(ABS('Реестр рисков'!$G$21-0.7)&lt;0.001,ABS('Реестр рисков'!$H$21-0.4)&lt;0.001),'Реестр рисков'!$B$21&amp;" ","")&amp;IF(AND(ABS('Реестр рисков'!$G$22-0.7)&lt;0.001,ABS('Реестр рисков'!$H$22-0.4)&lt;0.001),'Реестр рисков'!$B$22&amp;" ","")&amp;IF(AND(ABS('Реестр рисков'!$G$23-0.7)&lt;0.001,ABS('Реестр рисков'!$H$23-0.4)&lt;0.001),'Реестр рисков'!$B$23&amp;" ",""))</f>
        <v/>
      </c>
      <c r="J11" s="27" t="str">
        <f aca="false">TRIM(IF(AND(ABS('Реестр рисков'!$G$5-0.8)&lt;0.001,ABS('Реестр рисков'!$H$5-0.4)&lt;0.001),'Реестр рисков'!$B$5&amp;" ","")&amp;IF(AND(ABS('Реестр рисков'!$G$6-0.8)&lt;0.001,ABS('Реестр рисков'!$H$6-0.4)&lt;0.001),'Реестр рисков'!$B$6&amp;" ","")&amp;IF(AND(ABS('Реестр рисков'!$G$7-0.8)&lt;0.001,ABS('Реестр рисков'!$H$7-0.4)&lt;0.001),'Реестр рисков'!$B$7&amp;" ","")&amp;IF(AND(ABS('Реестр рисков'!$G$8-0.8)&lt;0.001,ABS('Реестр рисков'!$H$8-0.4)&lt;0.001),'Реестр рисков'!$B$8&amp;" ","")&amp;IF(AND(ABS('Реестр рисков'!$G$9-0.8)&lt;0.001,ABS('Реестр рисков'!$H$9-0.4)&lt;0.001),'Реестр рисков'!$B$9&amp;" ","")&amp;IF(AND(ABS('Реестр рисков'!$G$10-0.8)&lt;0.001,ABS('Реестр рисков'!$H$10-0.4)&lt;0.001),'Реестр рисков'!$B$10&amp;" ","")&amp;IF(AND(ABS('Реестр рисков'!$G$11-0.8)&lt;0.001,ABS('Реестр рисков'!$H$11-0.4)&lt;0.001),'Реестр рисков'!$B$11&amp;" ","")&amp;IF(AND(ABS('Реестр рисков'!$G$12-0.8)&lt;0.001,ABS('Реестр рисков'!$H$12-0.4)&lt;0.001),'Реестр рисков'!$B$12&amp;" ","")&amp;IF(AND(ABS('Реестр рисков'!$G$13-0.8)&lt;0.001,ABS('Реестр рисков'!$H$13-0.4)&lt;0.001),'Реестр рисков'!$B$13&amp;" ","")&amp;IF(AND(ABS('Реестр рисков'!$G$14-0.8)&lt;0.001,ABS('Реестр рисков'!$H$14-0.4)&lt;0.001),'Реестр рисков'!$B$14&amp;" ","")&amp;IF(AND(ABS('Реестр рисков'!$G$15-0.8)&lt;0.001,ABS('Реестр рисков'!$H$15-0.4)&lt;0.001),'Реестр рисков'!$B$15&amp;" ","")&amp;IF(AND(ABS('Реестр рисков'!$G$16-0.8)&lt;0.001,ABS('Реестр рисков'!$H$16-0.4)&lt;0.001),'Реестр рисков'!$B$16&amp;" ","")&amp;IF(AND(ABS('Реестр рисков'!$G$17-0.8)&lt;0.001,ABS('Реестр рисков'!$H$17-0.4)&lt;0.001),'Реестр рисков'!$B$17&amp;" ","")&amp;IF(AND(ABS('Реестр рисков'!$G$18-0.8)&lt;0.001,ABS('Реестр рисков'!$H$18-0.4)&lt;0.001),'Реестр рисков'!$B$18&amp;" ","")&amp;IF(AND(ABS('Реестр рисков'!$G$19-0.8)&lt;0.001,ABS('Реестр рисков'!$H$19-0.4)&lt;0.001),'Реестр рисков'!$B$19&amp;" ","")&amp;IF(AND(ABS('Реестр рисков'!$G$20-0.8)&lt;0.001,ABS('Реестр рисков'!$H$20-0.4)&lt;0.001),'Реестр рисков'!$B$20&amp;" ","")&amp;IF(AND(ABS('Реестр рисков'!$G$21-0.8)&lt;0.001,ABS('Реестр рисков'!$H$21-0.4)&lt;0.001),'Реестр рисков'!$B$21&amp;" ","")&amp;IF(AND(ABS('Реестр рисков'!$G$22-0.8)&lt;0.001,ABS('Реестр рисков'!$H$22-0.4)&lt;0.001),'Реестр рисков'!$B$22&amp;" ","")&amp;IF(AND(ABS('Реестр рисков'!$G$23-0.8)&lt;0.001,ABS('Реестр рисков'!$H$23-0.4)&lt;0.001),'Реестр рисков'!$B$23&amp;" ",""))</f>
        <v/>
      </c>
      <c r="K11" s="27" t="str">
        <f aca="false">TRIM(IF(AND(ABS('Реестр рисков'!$G$5-0.9)&lt;0.001,ABS('Реестр рисков'!$H$5-0.4)&lt;0.001),'Реестр рисков'!$B$5&amp;" ","")&amp;IF(AND(ABS('Реестр рисков'!$G$6-0.9)&lt;0.001,ABS('Реестр рисков'!$H$6-0.4)&lt;0.001),'Реестр рисков'!$B$6&amp;" ","")&amp;IF(AND(ABS('Реестр рисков'!$G$7-0.9)&lt;0.001,ABS('Реестр рисков'!$H$7-0.4)&lt;0.001),'Реестр рисков'!$B$7&amp;" ","")&amp;IF(AND(ABS('Реестр рисков'!$G$8-0.9)&lt;0.001,ABS('Реестр рисков'!$H$8-0.4)&lt;0.001),'Реестр рисков'!$B$8&amp;" ","")&amp;IF(AND(ABS('Реестр рисков'!$G$9-0.9)&lt;0.001,ABS('Реестр рисков'!$H$9-0.4)&lt;0.001),'Реестр рисков'!$B$9&amp;" ","")&amp;IF(AND(ABS('Реестр рисков'!$G$10-0.9)&lt;0.001,ABS('Реестр рисков'!$H$10-0.4)&lt;0.001),'Реестр рисков'!$B$10&amp;" ","")&amp;IF(AND(ABS('Реестр рисков'!$G$11-0.9)&lt;0.001,ABS('Реестр рисков'!$H$11-0.4)&lt;0.001),'Реестр рисков'!$B$11&amp;" ","")&amp;IF(AND(ABS('Реестр рисков'!$G$12-0.9)&lt;0.001,ABS('Реестр рисков'!$H$12-0.4)&lt;0.001),'Реестр рисков'!$B$12&amp;" ","")&amp;IF(AND(ABS('Реестр рисков'!$G$13-0.9)&lt;0.001,ABS('Реестр рисков'!$H$13-0.4)&lt;0.001),'Реестр рисков'!$B$13&amp;" ","")&amp;IF(AND(ABS('Реестр рисков'!$G$14-0.9)&lt;0.001,ABS('Реестр рисков'!$H$14-0.4)&lt;0.001),'Реестр рисков'!$B$14&amp;" ","")&amp;IF(AND(ABS('Реестр рисков'!$G$15-0.9)&lt;0.001,ABS('Реестр рисков'!$H$15-0.4)&lt;0.001),'Реестр рисков'!$B$15&amp;" ","")&amp;IF(AND(ABS('Реестр рисков'!$G$16-0.9)&lt;0.001,ABS('Реестр рисков'!$H$16-0.4)&lt;0.001),'Реестр рисков'!$B$16&amp;" ","")&amp;IF(AND(ABS('Реестр рисков'!$G$17-0.9)&lt;0.001,ABS('Реестр рисков'!$H$17-0.4)&lt;0.001),'Реестр рисков'!$B$17&amp;" ","")&amp;IF(AND(ABS('Реестр рисков'!$G$18-0.9)&lt;0.001,ABS('Реестр рисков'!$H$18-0.4)&lt;0.001),'Реестр рисков'!$B$18&amp;" ","")&amp;IF(AND(ABS('Реестр рисков'!$G$19-0.9)&lt;0.001,ABS('Реестр рисков'!$H$19-0.4)&lt;0.001),'Реестр рисков'!$B$19&amp;" ","")&amp;IF(AND(ABS('Реестр рисков'!$G$20-0.9)&lt;0.001,ABS('Реестр рисков'!$H$20-0.4)&lt;0.001),'Реестр рисков'!$B$20&amp;" ","")&amp;IF(AND(ABS('Реестр рисков'!$G$21-0.9)&lt;0.001,ABS('Реестр рисков'!$H$21-0.4)&lt;0.001),'Реестр рисков'!$B$21&amp;" ","")&amp;IF(AND(ABS('Реестр рисков'!$G$22-0.9)&lt;0.001,ABS('Реестр рисков'!$H$22-0.4)&lt;0.001),'Реестр рисков'!$B$22&amp;" ","")&amp;IF(AND(ABS('Реестр рисков'!$G$23-0.9)&lt;0.001,ABS('Реестр рисков'!$H$23-0.4)&lt;0.001),'Реестр рисков'!$B$23&amp;" ",""))</f>
        <v/>
      </c>
      <c r="L11" s="27" t="str">
        <f aca="false">TRIM(IF(AND(ABS('Реестр рисков'!$G$5-1)&lt;0.001,ABS('Реестр рисков'!$H$5-0.4)&lt;0.001),'Реестр рисков'!$B$5&amp;" ","")&amp;IF(AND(ABS('Реестр рисков'!$G$6-1)&lt;0.001,ABS('Реестр рисков'!$H$6-0.4)&lt;0.001),'Реестр рисков'!$B$6&amp;" ","")&amp;IF(AND(ABS('Реестр рисков'!$G$7-1)&lt;0.001,ABS('Реестр рисков'!$H$7-0.4)&lt;0.001),'Реестр рисков'!$B$7&amp;" ","")&amp;IF(AND(ABS('Реестр рисков'!$G$8-1)&lt;0.001,ABS('Реестр рисков'!$H$8-0.4)&lt;0.001),'Реестр рисков'!$B$8&amp;" ","")&amp;IF(AND(ABS('Реестр рисков'!$G$9-1)&lt;0.001,ABS('Реестр рисков'!$H$9-0.4)&lt;0.001),'Реестр рисков'!$B$9&amp;" ","")&amp;IF(AND(ABS('Реестр рисков'!$G$10-1)&lt;0.001,ABS('Реестр рисков'!$H$10-0.4)&lt;0.001),'Реестр рисков'!$B$10&amp;" ","")&amp;IF(AND(ABS('Реестр рисков'!$G$11-1)&lt;0.001,ABS('Реестр рисков'!$H$11-0.4)&lt;0.001),'Реестр рисков'!$B$11&amp;" ","")&amp;IF(AND(ABS('Реестр рисков'!$G$12-1)&lt;0.001,ABS('Реестр рисков'!$H$12-0.4)&lt;0.001),'Реестр рисков'!$B$12&amp;" ","")&amp;IF(AND(ABS('Реестр рисков'!$G$13-1)&lt;0.001,ABS('Реестр рисков'!$H$13-0.4)&lt;0.001),'Реестр рисков'!$B$13&amp;" ","")&amp;IF(AND(ABS('Реестр рисков'!$G$14-1)&lt;0.001,ABS('Реестр рисков'!$H$14-0.4)&lt;0.001),'Реестр рисков'!$B$14&amp;" ","")&amp;IF(AND(ABS('Реестр рисков'!$G$15-1)&lt;0.001,ABS('Реестр рисков'!$H$15-0.4)&lt;0.001),'Реестр рисков'!$B$15&amp;" ","")&amp;IF(AND(ABS('Реестр рисков'!$G$16-1)&lt;0.001,ABS('Реестр рисков'!$H$16-0.4)&lt;0.001),'Реестр рисков'!$B$16&amp;" ","")&amp;IF(AND(ABS('Реестр рисков'!$G$17-1)&lt;0.001,ABS('Реестр рисков'!$H$17-0.4)&lt;0.001),'Реестр рисков'!$B$17&amp;" ","")&amp;IF(AND(ABS('Реестр рисков'!$G$18-1)&lt;0.001,ABS('Реестр рисков'!$H$18-0.4)&lt;0.001),'Реестр рисков'!$B$18&amp;" ","")&amp;IF(AND(ABS('Реестр рисков'!$G$19-1)&lt;0.001,ABS('Реестр рисков'!$H$19-0.4)&lt;0.001),'Реестр рисков'!$B$19&amp;" ","")&amp;IF(AND(ABS('Реестр рисков'!$G$20-1)&lt;0.001,ABS('Реестр рисков'!$H$20-0.4)&lt;0.001),'Реестр рисков'!$B$20&amp;" ","")&amp;IF(AND(ABS('Реестр рисков'!$G$21-1)&lt;0.001,ABS('Реестр рисков'!$H$21-0.4)&lt;0.001),'Реестр рисков'!$B$21&amp;" ","")&amp;IF(AND(ABS('Реестр рисков'!$G$22-1)&lt;0.001,ABS('Реестр рисков'!$H$22-0.4)&lt;0.001),'Реестр рисков'!$B$22&amp;" ","")&amp;IF(AND(ABS('Реестр рисков'!$G$23-1)&lt;0.001,ABS('Реестр рисков'!$H$23-0.4)&lt;0.001),'Реестр рисков'!$B$23&amp;" ",""))</f>
        <v/>
      </c>
    </row>
    <row r="12" customFormat="false" ht="30" hidden="false" customHeight="true" outlineLevel="0" collapsed="false">
      <c r="A12" s="24"/>
      <c r="B12" s="25" t="n">
        <v>0.3</v>
      </c>
      <c r="C12" s="26" t="str">
        <f aca="false">TRIM(IF(AND(ABS('Реестр рисков'!$G$5-0.1)&lt;0.001,ABS('Реестр рисков'!$H$5-0.3)&lt;0.001),'Реестр рисков'!$B$5&amp;" ","")&amp;IF(AND(ABS('Реестр рисков'!$G$6-0.1)&lt;0.001,ABS('Реестр рисков'!$H$6-0.3)&lt;0.001),'Реестр рисков'!$B$6&amp;" ","")&amp;IF(AND(ABS('Реестр рисков'!$G$7-0.1)&lt;0.001,ABS('Реестр рисков'!$H$7-0.3)&lt;0.001),'Реестр рисков'!$B$7&amp;" ","")&amp;IF(AND(ABS('Реестр рисков'!$G$8-0.1)&lt;0.001,ABS('Реестр рисков'!$H$8-0.3)&lt;0.001),'Реестр рисков'!$B$8&amp;" ","")&amp;IF(AND(ABS('Реестр рисков'!$G$9-0.1)&lt;0.001,ABS('Реестр рисков'!$H$9-0.3)&lt;0.001),'Реестр рисков'!$B$9&amp;" ","")&amp;IF(AND(ABS('Реестр рисков'!$G$10-0.1)&lt;0.001,ABS('Реестр рисков'!$H$10-0.3)&lt;0.001),'Реестр рисков'!$B$10&amp;" ","")&amp;IF(AND(ABS('Реестр рисков'!$G$11-0.1)&lt;0.001,ABS('Реестр рисков'!$H$11-0.3)&lt;0.001),'Реестр рисков'!$B$11&amp;" ","")&amp;IF(AND(ABS('Реестр рисков'!$G$12-0.1)&lt;0.001,ABS('Реестр рисков'!$H$12-0.3)&lt;0.001),'Реестр рисков'!$B$12&amp;" ","")&amp;IF(AND(ABS('Реестр рисков'!$G$13-0.1)&lt;0.001,ABS('Реестр рисков'!$H$13-0.3)&lt;0.001),'Реестр рисков'!$B$13&amp;" ","")&amp;IF(AND(ABS('Реестр рисков'!$G$14-0.1)&lt;0.001,ABS('Реестр рисков'!$H$14-0.3)&lt;0.001),'Реестр рисков'!$B$14&amp;" ","")&amp;IF(AND(ABS('Реестр рисков'!$G$15-0.1)&lt;0.001,ABS('Реестр рисков'!$H$15-0.3)&lt;0.001),'Реестр рисков'!$B$15&amp;" ","")&amp;IF(AND(ABS('Реестр рисков'!$G$16-0.1)&lt;0.001,ABS('Реестр рисков'!$H$16-0.3)&lt;0.001),'Реестр рисков'!$B$16&amp;" ","")&amp;IF(AND(ABS('Реестр рисков'!$G$17-0.1)&lt;0.001,ABS('Реестр рисков'!$H$17-0.3)&lt;0.001),'Реестр рисков'!$B$17&amp;" ","")&amp;IF(AND(ABS('Реестр рисков'!$G$18-0.1)&lt;0.001,ABS('Реестр рисков'!$H$18-0.3)&lt;0.001),'Реестр рисков'!$B$18&amp;" ","")&amp;IF(AND(ABS('Реестр рисков'!$G$19-0.1)&lt;0.001,ABS('Реестр рисков'!$H$19-0.3)&lt;0.001),'Реестр рисков'!$B$19&amp;" ","")&amp;IF(AND(ABS('Реестр рисков'!$G$20-0.1)&lt;0.001,ABS('Реестр рисков'!$H$20-0.3)&lt;0.001),'Реестр рисков'!$B$20&amp;" ","")&amp;IF(AND(ABS('Реестр рисков'!$G$21-0.1)&lt;0.001,ABS('Реестр рисков'!$H$21-0.3)&lt;0.001),'Реестр рисков'!$B$21&amp;" ","")&amp;IF(AND(ABS('Реестр рисков'!$G$22-0.1)&lt;0.001,ABS('Реестр рисков'!$H$22-0.3)&lt;0.001),'Реестр рисков'!$B$22&amp;" ","")&amp;IF(AND(ABS('Реестр рисков'!$G$23-0.1)&lt;0.001,ABS('Реестр рисков'!$H$23-0.3)&lt;0.001),'Реестр рисков'!$B$23&amp;" ",""))</f>
        <v/>
      </c>
      <c r="D12" s="26" t="str">
        <f aca="false">TRIM(IF(AND(ABS('Реестр рисков'!$G$5-0.2)&lt;0.001,ABS('Реестр рисков'!$H$5-0.3)&lt;0.001),'Реестр рисков'!$B$5&amp;" ","")&amp;IF(AND(ABS('Реестр рисков'!$G$6-0.2)&lt;0.001,ABS('Реестр рисков'!$H$6-0.3)&lt;0.001),'Реестр рисков'!$B$6&amp;" ","")&amp;IF(AND(ABS('Реестр рисков'!$G$7-0.2)&lt;0.001,ABS('Реестр рисков'!$H$7-0.3)&lt;0.001),'Реестр рисков'!$B$7&amp;" ","")&amp;IF(AND(ABS('Реестр рисков'!$G$8-0.2)&lt;0.001,ABS('Реестр рисков'!$H$8-0.3)&lt;0.001),'Реестр рисков'!$B$8&amp;" ","")&amp;IF(AND(ABS('Реестр рисков'!$G$9-0.2)&lt;0.001,ABS('Реестр рисков'!$H$9-0.3)&lt;0.001),'Реестр рисков'!$B$9&amp;" ","")&amp;IF(AND(ABS('Реестр рисков'!$G$10-0.2)&lt;0.001,ABS('Реестр рисков'!$H$10-0.3)&lt;0.001),'Реестр рисков'!$B$10&amp;" ","")&amp;IF(AND(ABS('Реестр рисков'!$G$11-0.2)&lt;0.001,ABS('Реестр рисков'!$H$11-0.3)&lt;0.001),'Реестр рисков'!$B$11&amp;" ","")&amp;IF(AND(ABS('Реестр рисков'!$G$12-0.2)&lt;0.001,ABS('Реестр рисков'!$H$12-0.3)&lt;0.001),'Реестр рисков'!$B$12&amp;" ","")&amp;IF(AND(ABS('Реестр рисков'!$G$13-0.2)&lt;0.001,ABS('Реестр рисков'!$H$13-0.3)&lt;0.001),'Реестр рисков'!$B$13&amp;" ","")&amp;IF(AND(ABS('Реестр рисков'!$G$14-0.2)&lt;0.001,ABS('Реестр рисков'!$H$14-0.3)&lt;0.001),'Реестр рисков'!$B$14&amp;" ","")&amp;IF(AND(ABS('Реестр рисков'!$G$15-0.2)&lt;0.001,ABS('Реестр рисков'!$H$15-0.3)&lt;0.001),'Реестр рисков'!$B$15&amp;" ","")&amp;IF(AND(ABS('Реестр рисков'!$G$16-0.2)&lt;0.001,ABS('Реестр рисков'!$H$16-0.3)&lt;0.001),'Реестр рисков'!$B$16&amp;" ","")&amp;IF(AND(ABS('Реестр рисков'!$G$17-0.2)&lt;0.001,ABS('Реестр рисков'!$H$17-0.3)&lt;0.001),'Реестр рисков'!$B$17&amp;" ","")&amp;IF(AND(ABS('Реестр рисков'!$G$18-0.2)&lt;0.001,ABS('Реестр рисков'!$H$18-0.3)&lt;0.001),'Реестр рисков'!$B$18&amp;" ","")&amp;IF(AND(ABS('Реестр рисков'!$G$19-0.2)&lt;0.001,ABS('Реестр рисков'!$H$19-0.3)&lt;0.001),'Реестр рисков'!$B$19&amp;" ","")&amp;IF(AND(ABS('Реестр рисков'!$G$20-0.2)&lt;0.001,ABS('Реестр рисков'!$H$20-0.3)&lt;0.001),'Реестр рисков'!$B$20&amp;" ","")&amp;IF(AND(ABS('Реестр рисков'!$G$21-0.2)&lt;0.001,ABS('Реестр рисков'!$H$21-0.3)&lt;0.001),'Реестр рисков'!$B$21&amp;" ","")&amp;IF(AND(ABS('Реестр рисков'!$G$22-0.2)&lt;0.001,ABS('Реестр рисков'!$H$22-0.3)&lt;0.001),'Реестр рисков'!$B$22&amp;" ","")&amp;IF(AND(ABS('Реестр рисков'!$G$23-0.2)&lt;0.001,ABS('Реестр рисков'!$H$23-0.3)&lt;0.001),'Реестр рисков'!$B$23&amp;" ",""))</f>
        <v/>
      </c>
      <c r="E12" s="26" t="str">
        <f aca="false">TRIM(IF(AND(ABS('Реестр рисков'!$G$5-0.3)&lt;0.001,ABS('Реестр рисков'!$H$5-0.3)&lt;0.001),'Реестр рисков'!$B$5&amp;" ","")&amp;IF(AND(ABS('Реестр рисков'!$G$6-0.3)&lt;0.001,ABS('Реестр рисков'!$H$6-0.3)&lt;0.001),'Реестр рисков'!$B$6&amp;" ","")&amp;IF(AND(ABS('Реестр рисков'!$G$7-0.3)&lt;0.001,ABS('Реестр рисков'!$H$7-0.3)&lt;0.001),'Реестр рисков'!$B$7&amp;" ","")&amp;IF(AND(ABS('Реестр рисков'!$G$8-0.3)&lt;0.001,ABS('Реестр рисков'!$H$8-0.3)&lt;0.001),'Реестр рисков'!$B$8&amp;" ","")&amp;IF(AND(ABS('Реестр рисков'!$G$9-0.3)&lt;0.001,ABS('Реестр рисков'!$H$9-0.3)&lt;0.001),'Реестр рисков'!$B$9&amp;" ","")&amp;IF(AND(ABS('Реестр рисков'!$G$10-0.3)&lt;0.001,ABS('Реестр рисков'!$H$10-0.3)&lt;0.001),'Реестр рисков'!$B$10&amp;" ","")&amp;IF(AND(ABS('Реестр рисков'!$G$11-0.3)&lt;0.001,ABS('Реестр рисков'!$H$11-0.3)&lt;0.001),'Реестр рисков'!$B$11&amp;" ","")&amp;IF(AND(ABS('Реестр рисков'!$G$12-0.3)&lt;0.001,ABS('Реестр рисков'!$H$12-0.3)&lt;0.001),'Реестр рисков'!$B$12&amp;" ","")&amp;IF(AND(ABS('Реестр рисков'!$G$13-0.3)&lt;0.001,ABS('Реестр рисков'!$H$13-0.3)&lt;0.001),'Реестр рисков'!$B$13&amp;" ","")&amp;IF(AND(ABS('Реестр рисков'!$G$14-0.3)&lt;0.001,ABS('Реестр рисков'!$H$14-0.3)&lt;0.001),'Реестр рисков'!$B$14&amp;" ","")&amp;IF(AND(ABS('Реестр рисков'!$G$15-0.3)&lt;0.001,ABS('Реестр рисков'!$H$15-0.3)&lt;0.001),'Реестр рисков'!$B$15&amp;" ","")&amp;IF(AND(ABS('Реестр рисков'!$G$16-0.3)&lt;0.001,ABS('Реестр рисков'!$H$16-0.3)&lt;0.001),'Реестр рисков'!$B$16&amp;" ","")&amp;IF(AND(ABS('Реестр рисков'!$G$17-0.3)&lt;0.001,ABS('Реестр рисков'!$H$17-0.3)&lt;0.001),'Реестр рисков'!$B$17&amp;" ","")&amp;IF(AND(ABS('Реестр рисков'!$G$18-0.3)&lt;0.001,ABS('Реестр рисков'!$H$18-0.3)&lt;0.001),'Реестр рисков'!$B$18&amp;" ","")&amp;IF(AND(ABS('Реестр рисков'!$G$19-0.3)&lt;0.001,ABS('Реестр рисков'!$H$19-0.3)&lt;0.001),'Реестр рисков'!$B$19&amp;" ","")&amp;IF(AND(ABS('Реестр рисков'!$G$20-0.3)&lt;0.001,ABS('Реестр рисков'!$H$20-0.3)&lt;0.001),'Реестр рисков'!$B$20&amp;" ","")&amp;IF(AND(ABS('Реестр рисков'!$G$21-0.3)&lt;0.001,ABS('Реестр рисков'!$H$21-0.3)&lt;0.001),'Реестр рисков'!$B$21&amp;" ","")&amp;IF(AND(ABS('Реестр рисков'!$G$22-0.3)&lt;0.001,ABS('Реестр рисков'!$H$22-0.3)&lt;0.001),'Реестр рисков'!$B$22&amp;" ","")&amp;IF(AND(ABS('Реестр рисков'!$G$23-0.3)&lt;0.001,ABS('Реестр рисков'!$H$23-0.3)&lt;0.001),'Реестр рисков'!$B$23&amp;" ",""))</f>
        <v/>
      </c>
      <c r="F12" s="26" t="str">
        <f aca="false">TRIM(IF(AND(ABS('Реестр рисков'!$G$5-0.4)&lt;0.001,ABS('Реестр рисков'!$H$5-0.3)&lt;0.001),'Реестр рисков'!$B$5&amp;" ","")&amp;IF(AND(ABS('Реестр рисков'!$G$6-0.4)&lt;0.001,ABS('Реестр рисков'!$H$6-0.3)&lt;0.001),'Реестр рисков'!$B$6&amp;" ","")&amp;IF(AND(ABS('Реестр рисков'!$G$7-0.4)&lt;0.001,ABS('Реестр рисков'!$H$7-0.3)&lt;0.001),'Реестр рисков'!$B$7&amp;" ","")&amp;IF(AND(ABS('Реестр рисков'!$G$8-0.4)&lt;0.001,ABS('Реестр рисков'!$H$8-0.3)&lt;0.001),'Реестр рисков'!$B$8&amp;" ","")&amp;IF(AND(ABS('Реестр рисков'!$G$9-0.4)&lt;0.001,ABS('Реестр рисков'!$H$9-0.3)&lt;0.001),'Реестр рисков'!$B$9&amp;" ","")&amp;IF(AND(ABS('Реестр рисков'!$G$10-0.4)&lt;0.001,ABS('Реестр рисков'!$H$10-0.3)&lt;0.001),'Реестр рисков'!$B$10&amp;" ","")&amp;IF(AND(ABS('Реестр рисков'!$G$11-0.4)&lt;0.001,ABS('Реестр рисков'!$H$11-0.3)&lt;0.001),'Реестр рисков'!$B$11&amp;" ","")&amp;IF(AND(ABS('Реестр рисков'!$G$12-0.4)&lt;0.001,ABS('Реестр рисков'!$H$12-0.3)&lt;0.001),'Реестр рисков'!$B$12&amp;" ","")&amp;IF(AND(ABS('Реестр рисков'!$G$13-0.4)&lt;0.001,ABS('Реестр рисков'!$H$13-0.3)&lt;0.001),'Реестр рисков'!$B$13&amp;" ","")&amp;IF(AND(ABS('Реестр рисков'!$G$14-0.4)&lt;0.001,ABS('Реестр рисков'!$H$14-0.3)&lt;0.001),'Реестр рисков'!$B$14&amp;" ","")&amp;IF(AND(ABS('Реестр рисков'!$G$15-0.4)&lt;0.001,ABS('Реестр рисков'!$H$15-0.3)&lt;0.001),'Реестр рисков'!$B$15&amp;" ","")&amp;IF(AND(ABS('Реестр рисков'!$G$16-0.4)&lt;0.001,ABS('Реестр рисков'!$H$16-0.3)&lt;0.001),'Реестр рисков'!$B$16&amp;" ","")&amp;IF(AND(ABS('Реестр рисков'!$G$17-0.4)&lt;0.001,ABS('Реестр рисков'!$H$17-0.3)&lt;0.001),'Реестр рисков'!$B$17&amp;" ","")&amp;IF(AND(ABS('Реестр рисков'!$G$18-0.4)&lt;0.001,ABS('Реестр рисков'!$H$18-0.3)&lt;0.001),'Реестр рисков'!$B$18&amp;" ","")&amp;IF(AND(ABS('Реестр рисков'!$G$19-0.4)&lt;0.001,ABS('Реестр рисков'!$H$19-0.3)&lt;0.001),'Реестр рисков'!$B$19&amp;" ","")&amp;IF(AND(ABS('Реестр рисков'!$G$20-0.4)&lt;0.001,ABS('Реестр рисков'!$H$20-0.3)&lt;0.001),'Реестр рисков'!$B$20&amp;" ","")&amp;IF(AND(ABS('Реестр рисков'!$G$21-0.4)&lt;0.001,ABS('Реестр рисков'!$H$21-0.3)&lt;0.001),'Реестр рисков'!$B$21&amp;" ","")&amp;IF(AND(ABS('Реестр рисков'!$G$22-0.4)&lt;0.001,ABS('Реестр рисков'!$H$22-0.3)&lt;0.001),'Реестр рисков'!$B$22&amp;" ","")&amp;IF(AND(ABS('Реестр рисков'!$G$23-0.4)&lt;0.001,ABS('Реестр рисков'!$H$23-0.3)&lt;0.001),'Реестр рисков'!$B$23&amp;" ",""))</f>
        <v>R19</v>
      </c>
      <c r="G12" s="27" t="str">
        <f aca="false">TRIM(IF(AND(ABS('Реестр рисков'!$G$5-0.5)&lt;0.001,ABS('Реестр рисков'!$H$5-0.3)&lt;0.001),'Реестр рисков'!$B$5&amp;" ","")&amp;IF(AND(ABS('Реестр рисков'!$G$6-0.5)&lt;0.001,ABS('Реестр рисков'!$H$6-0.3)&lt;0.001),'Реестр рисков'!$B$6&amp;" ","")&amp;IF(AND(ABS('Реестр рисков'!$G$7-0.5)&lt;0.001,ABS('Реестр рисков'!$H$7-0.3)&lt;0.001),'Реестр рисков'!$B$7&amp;" ","")&amp;IF(AND(ABS('Реестр рисков'!$G$8-0.5)&lt;0.001,ABS('Реестр рисков'!$H$8-0.3)&lt;0.001),'Реестр рисков'!$B$8&amp;" ","")&amp;IF(AND(ABS('Реестр рисков'!$G$9-0.5)&lt;0.001,ABS('Реестр рисков'!$H$9-0.3)&lt;0.001),'Реестр рисков'!$B$9&amp;" ","")&amp;IF(AND(ABS('Реестр рисков'!$G$10-0.5)&lt;0.001,ABS('Реестр рисков'!$H$10-0.3)&lt;0.001),'Реестр рисков'!$B$10&amp;" ","")&amp;IF(AND(ABS('Реестр рисков'!$G$11-0.5)&lt;0.001,ABS('Реестр рисков'!$H$11-0.3)&lt;0.001),'Реестр рисков'!$B$11&amp;" ","")&amp;IF(AND(ABS('Реестр рисков'!$G$12-0.5)&lt;0.001,ABS('Реестр рисков'!$H$12-0.3)&lt;0.001),'Реестр рисков'!$B$12&amp;" ","")&amp;IF(AND(ABS('Реестр рисков'!$G$13-0.5)&lt;0.001,ABS('Реестр рисков'!$H$13-0.3)&lt;0.001),'Реестр рисков'!$B$13&amp;" ","")&amp;IF(AND(ABS('Реестр рисков'!$G$14-0.5)&lt;0.001,ABS('Реестр рисков'!$H$14-0.3)&lt;0.001),'Реестр рисков'!$B$14&amp;" ","")&amp;IF(AND(ABS('Реестр рисков'!$G$15-0.5)&lt;0.001,ABS('Реестр рисков'!$H$15-0.3)&lt;0.001),'Реестр рисков'!$B$15&amp;" ","")&amp;IF(AND(ABS('Реестр рисков'!$G$16-0.5)&lt;0.001,ABS('Реестр рисков'!$H$16-0.3)&lt;0.001),'Реестр рисков'!$B$16&amp;" ","")&amp;IF(AND(ABS('Реестр рисков'!$G$17-0.5)&lt;0.001,ABS('Реестр рисков'!$H$17-0.3)&lt;0.001),'Реестр рисков'!$B$17&amp;" ","")&amp;IF(AND(ABS('Реестр рисков'!$G$18-0.5)&lt;0.001,ABS('Реестр рисков'!$H$18-0.3)&lt;0.001),'Реестр рисков'!$B$18&amp;" ","")&amp;IF(AND(ABS('Реестр рисков'!$G$19-0.5)&lt;0.001,ABS('Реестр рисков'!$H$19-0.3)&lt;0.001),'Реестр рисков'!$B$19&amp;" ","")&amp;IF(AND(ABS('Реестр рисков'!$G$20-0.5)&lt;0.001,ABS('Реестр рисков'!$H$20-0.3)&lt;0.001),'Реестр рисков'!$B$20&amp;" ","")&amp;IF(AND(ABS('Реестр рисков'!$G$21-0.5)&lt;0.001,ABS('Реестр рисков'!$H$21-0.3)&lt;0.001),'Реестр рисков'!$B$21&amp;" ","")&amp;IF(AND(ABS('Реестр рисков'!$G$22-0.5)&lt;0.001,ABS('Реестр рисков'!$H$22-0.3)&lt;0.001),'Реестр рисков'!$B$22&amp;" ","")&amp;IF(AND(ABS('Реестр рисков'!$G$23-0.5)&lt;0.001,ABS('Реестр рисков'!$H$23-0.3)&lt;0.001),'Реестр рисков'!$B$23&amp;" ",""))</f>
        <v/>
      </c>
      <c r="H12" s="27" t="str">
        <f aca="false">TRIM(IF(AND(ABS('Реестр рисков'!$G$5-0.6)&lt;0.001,ABS('Реестр рисков'!$H$5-0.3)&lt;0.001),'Реестр рисков'!$B$5&amp;" ","")&amp;IF(AND(ABS('Реестр рисков'!$G$6-0.6)&lt;0.001,ABS('Реестр рисков'!$H$6-0.3)&lt;0.001),'Реестр рисков'!$B$6&amp;" ","")&amp;IF(AND(ABS('Реестр рисков'!$G$7-0.6)&lt;0.001,ABS('Реестр рисков'!$H$7-0.3)&lt;0.001),'Реестр рисков'!$B$7&amp;" ","")&amp;IF(AND(ABS('Реестр рисков'!$G$8-0.6)&lt;0.001,ABS('Реестр рисков'!$H$8-0.3)&lt;0.001),'Реестр рисков'!$B$8&amp;" ","")&amp;IF(AND(ABS('Реестр рисков'!$G$9-0.6)&lt;0.001,ABS('Реестр рисков'!$H$9-0.3)&lt;0.001),'Реестр рисков'!$B$9&amp;" ","")&amp;IF(AND(ABS('Реестр рисков'!$G$10-0.6)&lt;0.001,ABS('Реестр рисков'!$H$10-0.3)&lt;0.001),'Реестр рисков'!$B$10&amp;" ","")&amp;IF(AND(ABS('Реестр рисков'!$G$11-0.6)&lt;0.001,ABS('Реестр рисков'!$H$11-0.3)&lt;0.001),'Реестр рисков'!$B$11&amp;" ","")&amp;IF(AND(ABS('Реестр рисков'!$G$12-0.6)&lt;0.001,ABS('Реестр рисков'!$H$12-0.3)&lt;0.001),'Реестр рисков'!$B$12&amp;" ","")&amp;IF(AND(ABS('Реестр рисков'!$G$13-0.6)&lt;0.001,ABS('Реестр рисков'!$H$13-0.3)&lt;0.001),'Реестр рисков'!$B$13&amp;" ","")&amp;IF(AND(ABS('Реестр рисков'!$G$14-0.6)&lt;0.001,ABS('Реестр рисков'!$H$14-0.3)&lt;0.001),'Реестр рисков'!$B$14&amp;" ","")&amp;IF(AND(ABS('Реестр рисков'!$G$15-0.6)&lt;0.001,ABS('Реестр рисков'!$H$15-0.3)&lt;0.001),'Реестр рисков'!$B$15&amp;" ","")&amp;IF(AND(ABS('Реестр рисков'!$G$16-0.6)&lt;0.001,ABS('Реестр рисков'!$H$16-0.3)&lt;0.001),'Реестр рисков'!$B$16&amp;" ","")&amp;IF(AND(ABS('Реестр рисков'!$G$17-0.6)&lt;0.001,ABS('Реестр рисков'!$H$17-0.3)&lt;0.001),'Реестр рисков'!$B$17&amp;" ","")&amp;IF(AND(ABS('Реестр рисков'!$G$18-0.6)&lt;0.001,ABS('Реестр рисков'!$H$18-0.3)&lt;0.001),'Реестр рисков'!$B$18&amp;" ","")&amp;IF(AND(ABS('Реестр рисков'!$G$19-0.6)&lt;0.001,ABS('Реестр рисков'!$H$19-0.3)&lt;0.001),'Реестр рисков'!$B$19&amp;" ","")&amp;IF(AND(ABS('Реестр рисков'!$G$20-0.6)&lt;0.001,ABS('Реестр рисков'!$H$20-0.3)&lt;0.001),'Реестр рисков'!$B$20&amp;" ","")&amp;IF(AND(ABS('Реестр рисков'!$G$21-0.6)&lt;0.001,ABS('Реестр рисков'!$H$21-0.3)&lt;0.001),'Реестр рисков'!$B$21&amp;" ","")&amp;IF(AND(ABS('Реестр рисков'!$G$22-0.6)&lt;0.001,ABS('Реестр рисков'!$H$22-0.3)&lt;0.001),'Реестр рисков'!$B$22&amp;" ","")&amp;IF(AND(ABS('Реестр рисков'!$G$23-0.6)&lt;0.001,ABS('Реестр рисков'!$H$23-0.3)&lt;0.001),'Реестр рисков'!$B$23&amp;" ",""))</f>
        <v/>
      </c>
      <c r="I12" s="27" t="str">
        <f aca="false">TRIM(IF(AND(ABS('Реестр рисков'!$G$5-0.7)&lt;0.001,ABS('Реестр рисков'!$H$5-0.3)&lt;0.001),'Реестр рисков'!$B$5&amp;" ","")&amp;IF(AND(ABS('Реестр рисков'!$G$6-0.7)&lt;0.001,ABS('Реестр рисков'!$H$6-0.3)&lt;0.001),'Реестр рисков'!$B$6&amp;" ","")&amp;IF(AND(ABS('Реестр рисков'!$G$7-0.7)&lt;0.001,ABS('Реестр рисков'!$H$7-0.3)&lt;0.001),'Реестр рисков'!$B$7&amp;" ","")&amp;IF(AND(ABS('Реестр рисков'!$G$8-0.7)&lt;0.001,ABS('Реестр рисков'!$H$8-0.3)&lt;0.001),'Реестр рисков'!$B$8&amp;" ","")&amp;IF(AND(ABS('Реестр рисков'!$G$9-0.7)&lt;0.001,ABS('Реестр рисков'!$H$9-0.3)&lt;0.001),'Реестр рисков'!$B$9&amp;" ","")&amp;IF(AND(ABS('Реестр рисков'!$G$10-0.7)&lt;0.001,ABS('Реестр рисков'!$H$10-0.3)&lt;0.001),'Реестр рисков'!$B$10&amp;" ","")&amp;IF(AND(ABS('Реестр рисков'!$G$11-0.7)&lt;0.001,ABS('Реестр рисков'!$H$11-0.3)&lt;0.001),'Реестр рисков'!$B$11&amp;" ","")&amp;IF(AND(ABS('Реестр рисков'!$G$12-0.7)&lt;0.001,ABS('Реестр рисков'!$H$12-0.3)&lt;0.001),'Реестр рисков'!$B$12&amp;" ","")&amp;IF(AND(ABS('Реестр рисков'!$G$13-0.7)&lt;0.001,ABS('Реестр рисков'!$H$13-0.3)&lt;0.001),'Реестр рисков'!$B$13&amp;" ","")&amp;IF(AND(ABS('Реестр рисков'!$G$14-0.7)&lt;0.001,ABS('Реестр рисков'!$H$14-0.3)&lt;0.001),'Реестр рисков'!$B$14&amp;" ","")&amp;IF(AND(ABS('Реестр рисков'!$G$15-0.7)&lt;0.001,ABS('Реестр рисков'!$H$15-0.3)&lt;0.001),'Реестр рисков'!$B$15&amp;" ","")&amp;IF(AND(ABS('Реестр рисков'!$G$16-0.7)&lt;0.001,ABS('Реестр рисков'!$H$16-0.3)&lt;0.001),'Реестр рисков'!$B$16&amp;" ","")&amp;IF(AND(ABS('Реестр рисков'!$G$17-0.7)&lt;0.001,ABS('Реестр рисков'!$H$17-0.3)&lt;0.001),'Реестр рисков'!$B$17&amp;" ","")&amp;IF(AND(ABS('Реестр рисков'!$G$18-0.7)&lt;0.001,ABS('Реестр рисков'!$H$18-0.3)&lt;0.001),'Реестр рисков'!$B$18&amp;" ","")&amp;IF(AND(ABS('Реестр рисков'!$G$19-0.7)&lt;0.001,ABS('Реестр рисков'!$H$19-0.3)&lt;0.001),'Реестр рисков'!$B$19&amp;" ","")&amp;IF(AND(ABS('Реестр рисков'!$G$20-0.7)&lt;0.001,ABS('Реестр рисков'!$H$20-0.3)&lt;0.001),'Реестр рисков'!$B$20&amp;" ","")&amp;IF(AND(ABS('Реестр рисков'!$G$21-0.7)&lt;0.001,ABS('Реестр рисков'!$H$21-0.3)&lt;0.001),'Реестр рисков'!$B$21&amp;" ","")&amp;IF(AND(ABS('Реестр рисков'!$G$22-0.7)&lt;0.001,ABS('Реестр рисков'!$H$22-0.3)&lt;0.001),'Реестр рисков'!$B$22&amp;" ","")&amp;IF(AND(ABS('Реестр рисков'!$G$23-0.7)&lt;0.001,ABS('Реестр рисков'!$H$23-0.3)&lt;0.001),'Реестр рисков'!$B$23&amp;" ",""))</f>
        <v/>
      </c>
      <c r="J12" s="27" t="str">
        <f aca="false">TRIM(IF(AND(ABS('Реестр рисков'!$G$5-0.8)&lt;0.001,ABS('Реестр рисков'!$H$5-0.3)&lt;0.001),'Реестр рисков'!$B$5&amp;" ","")&amp;IF(AND(ABS('Реестр рисков'!$G$6-0.8)&lt;0.001,ABS('Реестр рисков'!$H$6-0.3)&lt;0.001),'Реестр рисков'!$B$6&amp;" ","")&amp;IF(AND(ABS('Реестр рисков'!$G$7-0.8)&lt;0.001,ABS('Реестр рисков'!$H$7-0.3)&lt;0.001),'Реестр рисков'!$B$7&amp;" ","")&amp;IF(AND(ABS('Реестр рисков'!$G$8-0.8)&lt;0.001,ABS('Реестр рисков'!$H$8-0.3)&lt;0.001),'Реестр рисков'!$B$8&amp;" ","")&amp;IF(AND(ABS('Реестр рисков'!$G$9-0.8)&lt;0.001,ABS('Реестр рисков'!$H$9-0.3)&lt;0.001),'Реестр рисков'!$B$9&amp;" ","")&amp;IF(AND(ABS('Реестр рисков'!$G$10-0.8)&lt;0.001,ABS('Реестр рисков'!$H$10-0.3)&lt;0.001),'Реестр рисков'!$B$10&amp;" ","")&amp;IF(AND(ABS('Реестр рисков'!$G$11-0.8)&lt;0.001,ABS('Реестр рисков'!$H$11-0.3)&lt;0.001),'Реестр рисков'!$B$11&amp;" ","")&amp;IF(AND(ABS('Реестр рисков'!$G$12-0.8)&lt;0.001,ABS('Реестр рисков'!$H$12-0.3)&lt;0.001),'Реестр рисков'!$B$12&amp;" ","")&amp;IF(AND(ABS('Реестр рисков'!$G$13-0.8)&lt;0.001,ABS('Реестр рисков'!$H$13-0.3)&lt;0.001),'Реестр рисков'!$B$13&amp;" ","")&amp;IF(AND(ABS('Реестр рисков'!$G$14-0.8)&lt;0.001,ABS('Реестр рисков'!$H$14-0.3)&lt;0.001),'Реестр рисков'!$B$14&amp;" ","")&amp;IF(AND(ABS('Реестр рисков'!$G$15-0.8)&lt;0.001,ABS('Реестр рисков'!$H$15-0.3)&lt;0.001),'Реестр рисков'!$B$15&amp;" ","")&amp;IF(AND(ABS('Реестр рисков'!$G$16-0.8)&lt;0.001,ABS('Реестр рисков'!$H$16-0.3)&lt;0.001),'Реестр рисков'!$B$16&amp;" ","")&amp;IF(AND(ABS('Реестр рисков'!$G$17-0.8)&lt;0.001,ABS('Реестр рисков'!$H$17-0.3)&lt;0.001),'Реестр рисков'!$B$17&amp;" ","")&amp;IF(AND(ABS('Реестр рисков'!$G$18-0.8)&lt;0.001,ABS('Реестр рисков'!$H$18-0.3)&lt;0.001),'Реестр рисков'!$B$18&amp;" ","")&amp;IF(AND(ABS('Реестр рисков'!$G$19-0.8)&lt;0.001,ABS('Реестр рисков'!$H$19-0.3)&lt;0.001),'Реестр рисков'!$B$19&amp;" ","")&amp;IF(AND(ABS('Реестр рисков'!$G$20-0.8)&lt;0.001,ABS('Реестр рисков'!$H$20-0.3)&lt;0.001),'Реестр рисков'!$B$20&amp;" ","")&amp;IF(AND(ABS('Реестр рисков'!$G$21-0.8)&lt;0.001,ABS('Реестр рисков'!$H$21-0.3)&lt;0.001),'Реестр рисков'!$B$21&amp;" ","")&amp;IF(AND(ABS('Реестр рисков'!$G$22-0.8)&lt;0.001,ABS('Реестр рисков'!$H$22-0.3)&lt;0.001),'Реестр рисков'!$B$22&amp;" ","")&amp;IF(AND(ABS('Реестр рисков'!$G$23-0.8)&lt;0.001,ABS('Реестр рисков'!$H$23-0.3)&lt;0.001),'Реестр рисков'!$B$23&amp;" ",""))</f>
        <v/>
      </c>
      <c r="K12" s="27" t="str">
        <f aca="false">TRIM(IF(AND(ABS('Реестр рисков'!$G$5-0.9)&lt;0.001,ABS('Реестр рисков'!$H$5-0.3)&lt;0.001),'Реестр рисков'!$B$5&amp;" ","")&amp;IF(AND(ABS('Реестр рисков'!$G$6-0.9)&lt;0.001,ABS('Реестр рисков'!$H$6-0.3)&lt;0.001),'Реестр рисков'!$B$6&amp;" ","")&amp;IF(AND(ABS('Реестр рисков'!$G$7-0.9)&lt;0.001,ABS('Реестр рисков'!$H$7-0.3)&lt;0.001),'Реестр рисков'!$B$7&amp;" ","")&amp;IF(AND(ABS('Реестр рисков'!$G$8-0.9)&lt;0.001,ABS('Реестр рисков'!$H$8-0.3)&lt;0.001),'Реестр рисков'!$B$8&amp;" ","")&amp;IF(AND(ABS('Реестр рисков'!$G$9-0.9)&lt;0.001,ABS('Реестр рисков'!$H$9-0.3)&lt;0.001),'Реестр рисков'!$B$9&amp;" ","")&amp;IF(AND(ABS('Реестр рисков'!$G$10-0.9)&lt;0.001,ABS('Реестр рисков'!$H$10-0.3)&lt;0.001),'Реестр рисков'!$B$10&amp;" ","")&amp;IF(AND(ABS('Реестр рисков'!$G$11-0.9)&lt;0.001,ABS('Реестр рисков'!$H$11-0.3)&lt;0.001),'Реестр рисков'!$B$11&amp;" ","")&amp;IF(AND(ABS('Реестр рисков'!$G$12-0.9)&lt;0.001,ABS('Реестр рисков'!$H$12-0.3)&lt;0.001),'Реестр рисков'!$B$12&amp;" ","")&amp;IF(AND(ABS('Реестр рисков'!$G$13-0.9)&lt;0.001,ABS('Реестр рисков'!$H$13-0.3)&lt;0.001),'Реестр рисков'!$B$13&amp;" ","")&amp;IF(AND(ABS('Реестр рисков'!$G$14-0.9)&lt;0.001,ABS('Реестр рисков'!$H$14-0.3)&lt;0.001),'Реестр рисков'!$B$14&amp;" ","")&amp;IF(AND(ABS('Реестр рисков'!$G$15-0.9)&lt;0.001,ABS('Реестр рисков'!$H$15-0.3)&lt;0.001),'Реестр рисков'!$B$15&amp;" ","")&amp;IF(AND(ABS('Реестр рисков'!$G$16-0.9)&lt;0.001,ABS('Реестр рисков'!$H$16-0.3)&lt;0.001),'Реестр рисков'!$B$16&amp;" ","")&amp;IF(AND(ABS('Реестр рисков'!$G$17-0.9)&lt;0.001,ABS('Реестр рисков'!$H$17-0.3)&lt;0.001),'Реестр рисков'!$B$17&amp;" ","")&amp;IF(AND(ABS('Реестр рисков'!$G$18-0.9)&lt;0.001,ABS('Реестр рисков'!$H$18-0.3)&lt;0.001),'Реестр рисков'!$B$18&amp;" ","")&amp;IF(AND(ABS('Реестр рисков'!$G$19-0.9)&lt;0.001,ABS('Реестр рисков'!$H$19-0.3)&lt;0.001),'Реестр рисков'!$B$19&amp;" ","")&amp;IF(AND(ABS('Реестр рисков'!$G$20-0.9)&lt;0.001,ABS('Реестр рисков'!$H$20-0.3)&lt;0.001),'Реестр рисков'!$B$20&amp;" ","")&amp;IF(AND(ABS('Реестр рисков'!$G$21-0.9)&lt;0.001,ABS('Реестр рисков'!$H$21-0.3)&lt;0.001),'Реестр рисков'!$B$21&amp;" ","")&amp;IF(AND(ABS('Реестр рисков'!$G$22-0.9)&lt;0.001,ABS('Реестр рисков'!$H$22-0.3)&lt;0.001),'Реестр рисков'!$B$22&amp;" ","")&amp;IF(AND(ABS('Реестр рисков'!$G$23-0.9)&lt;0.001,ABS('Реестр рисков'!$H$23-0.3)&lt;0.001),'Реестр рисков'!$B$23&amp;" ",""))</f>
        <v/>
      </c>
      <c r="L12" s="27" t="str">
        <f aca="false">TRIM(IF(AND(ABS('Реестр рисков'!$G$5-1)&lt;0.001,ABS('Реестр рисков'!$H$5-0.3)&lt;0.001),'Реестр рисков'!$B$5&amp;" ","")&amp;IF(AND(ABS('Реестр рисков'!$G$6-1)&lt;0.001,ABS('Реестр рисков'!$H$6-0.3)&lt;0.001),'Реестр рисков'!$B$6&amp;" ","")&amp;IF(AND(ABS('Реестр рисков'!$G$7-1)&lt;0.001,ABS('Реестр рисков'!$H$7-0.3)&lt;0.001),'Реестр рисков'!$B$7&amp;" ","")&amp;IF(AND(ABS('Реестр рисков'!$G$8-1)&lt;0.001,ABS('Реестр рисков'!$H$8-0.3)&lt;0.001),'Реестр рисков'!$B$8&amp;" ","")&amp;IF(AND(ABS('Реестр рисков'!$G$9-1)&lt;0.001,ABS('Реестр рисков'!$H$9-0.3)&lt;0.001),'Реестр рисков'!$B$9&amp;" ","")&amp;IF(AND(ABS('Реестр рисков'!$G$10-1)&lt;0.001,ABS('Реестр рисков'!$H$10-0.3)&lt;0.001),'Реестр рисков'!$B$10&amp;" ","")&amp;IF(AND(ABS('Реестр рисков'!$G$11-1)&lt;0.001,ABS('Реестр рисков'!$H$11-0.3)&lt;0.001),'Реестр рисков'!$B$11&amp;" ","")&amp;IF(AND(ABS('Реестр рисков'!$G$12-1)&lt;0.001,ABS('Реестр рисков'!$H$12-0.3)&lt;0.001),'Реестр рисков'!$B$12&amp;" ","")&amp;IF(AND(ABS('Реестр рисков'!$G$13-1)&lt;0.001,ABS('Реестр рисков'!$H$13-0.3)&lt;0.001),'Реестр рисков'!$B$13&amp;" ","")&amp;IF(AND(ABS('Реестр рисков'!$G$14-1)&lt;0.001,ABS('Реестр рисков'!$H$14-0.3)&lt;0.001),'Реестр рисков'!$B$14&amp;" ","")&amp;IF(AND(ABS('Реестр рисков'!$G$15-1)&lt;0.001,ABS('Реестр рисков'!$H$15-0.3)&lt;0.001),'Реестр рисков'!$B$15&amp;" ","")&amp;IF(AND(ABS('Реестр рисков'!$G$16-1)&lt;0.001,ABS('Реестр рисков'!$H$16-0.3)&lt;0.001),'Реестр рисков'!$B$16&amp;" ","")&amp;IF(AND(ABS('Реестр рисков'!$G$17-1)&lt;0.001,ABS('Реестр рисков'!$H$17-0.3)&lt;0.001),'Реестр рисков'!$B$17&amp;" ","")&amp;IF(AND(ABS('Реестр рисков'!$G$18-1)&lt;0.001,ABS('Реестр рисков'!$H$18-0.3)&lt;0.001),'Реестр рисков'!$B$18&amp;" ","")&amp;IF(AND(ABS('Реестр рисков'!$G$19-1)&lt;0.001,ABS('Реестр рисков'!$H$19-0.3)&lt;0.001),'Реестр рисков'!$B$19&amp;" ","")&amp;IF(AND(ABS('Реестр рисков'!$G$20-1)&lt;0.001,ABS('Реестр рисков'!$H$20-0.3)&lt;0.001),'Реестр рисков'!$B$20&amp;" ","")&amp;IF(AND(ABS('Реестр рисков'!$G$21-1)&lt;0.001,ABS('Реестр рисков'!$H$21-0.3)&lt;0.001),'Реестр рисков'!$B$21&amp;" ","")&amp;IF(AND(ABS('Реестр рисков'!$G$22-1)&lt;0.001,ABS('Реестр рисков'!$H$22-0.3)&lt;0.001),'Реестр рисков'!$B$22&amp;" ","")&amp;IF(AND(ABS('Реестр рисков'!$G$23-1)&lt;0.001,ABS('Реестр рисков'!$H$23-0.3)&lt;0.001),'Реестр рисков'!$B$23&amp;" ",""))</f>
        <v/>
      </c>
    </row>
    <row r="13" customFormat="false" ht="30" hidden="false" customHeight="true" outlineLevel="0" collapsed="false">
      <c r="A13" s="24"/>
      <c r="B13" s="25" t="n">
        <v>0.2</v>
      </c>
      <c r="C13" s="26" t="str">
        <f aca="false">TRIM(IF(AND(ABS('Реестр рисков'!$G$5-0.1)&lt;0.001,ABS('Реестр рисков'!$H$5-0.2)&lt;0.001),'Реестр рисков'!$B$5&amp;" ","")&amp;IF(AND(ABS('Реестр рисков'!$G$6-0.1)&lt;0.001,ABS('Реестр рисков'!$H$6-0.2)&lt;0.001),'Реестр рисков'!$B$6&amp;" ","")&amp;IF(AND(ABS('Реестр рисков'!$G$7-0.1)&lt;0.001,ABS('Реестр рисков'!$H$7-0.2)&lt;0.001),'Реестр рисков'!$B$7&amp;" ","")&amp;IF(AND(ABS('Реестр рисков'!$G$8-0.1)&lt;0.001,ABS('Реестр рисков'!$H$8-0.2)&lt;0.001),'Реестр рисков'!$B$8&amp;" ","")&amp;IF(AND(ABS('Реестр рисков'!$G$9-0.1)&lt;0.001,ABS('Реестр рисков'!$H$9-0.2)&lt;0.001),'Реестр рисков'!$B$9&amp;" ","")&amp;IF(AND(ABS('Реестр рисков'!$G$10-0.1)&lt;0.001,ABS('Реестр рисков'!$H$10-0.2)&lt;0.001),'Реестр рисков'!$B$10&amp;" ","")&amp;IF(AND(ABS('Реестр рисков'!$G$11-0.1)&lt;0.001,ABS('Реестр рисков'!$H$11-0.2)&lt;0.001),'Реестр рисков'!$B$11&amp;" ","")&amp;IF(AND(ABS('Реестр рисков'!$G$12-0.1)&lt;0.001,ABS('Реестр рисков'!$H$12-0.2)&lt;0.001),'Реестр рисков'!$B$12&amp;" ","")&amp;IF(AND(ABS('Реестр рисков'!$G$13-0.1)&lt;0.001,ABS('Реестр рисков'!$H$13-0.2)&lt;0.001),'Реестр рисков'!$B$13&amp;" ","")&amp;IF(AND(ABS('Реестр рисков'!$G$14-0.1)&lt;0.001,ABS('Реестр рисков'!$H$14-0.2)&lt;0.001),'Реестр рисков'!$B$14&amp;" ","")&amp;IF(AND(ABS('Реестр рисков'!$G$15-0.1)&lt;0.001,ABS('Реестр рисков'!$H$15-0.2)&lt;0.001),'Реестр рисков'!$B$15&amp;" ","")&amp;IF(AND(ABS('Реестр рисков'!$G$16-0.1)&lt;0.001,ABS('Реестр рисков'!$H$16-0.2)&lt;0.001),'Реестр рисков'!$B$16&amp;" ","")&amp;IF(AND(ABS('Реестр рисков'!$G$17-0.1)&lt;0.001,ABS('Реестр рисков'!$H$17-0.2)&lt;0.001),'Реестр рисков'!$B$17&amp;" ","")&amp;IF(AND(ABS('Реестр рисков'!$G$18-0.1)&lt;0.001,ABS('Реестр рисков'!$H$18-0.2)&lt;0.001),'Реестр рисков'!$B$18&amp;" ","")&amp;IF(AND(ABS('Реестр рисков'!$G$19-0.1)&lt;0.001,ABS('Реестр рисков'!$H$19-0.2)&lt;0.001),'Реестр рисков'!$B$19&amp;" ","")&amp;IF(AND(ABS('Реестр рисков'!$G$20-0.1)&lt;0.001,ABS('Реестр рисков'!$H$20-0.2)&lt;0.001),'Реестр рисков'!$B$20&amp;" ","")&amp;IF(AND(ABS('Реестр рисков'!$G$21-0.1)&lt;0.001,ABS('Реестр рисков'!$H$21-0.2)&lt;0.001),'Реестр рисков'!$B$21&amp;" ","")&amp;IF(AND(ABS('Реестр рисков'!$G$22-0.1)&lt;0.001,ABS('Реестр рисков'!$H$22-0.2)&lt;0.001),'Реестр рисков'!$B$22&amp;" ","")&amp;IF(AND(ABS('Реестр рисков'!$G$23-0.1)&lt;0.001,ABS('Реестр рисков'!$H$23-0.2)&lt;0.001),'Реестр рисков'!$B$23&amp;" ",""))</f>
        <v/>
      </c>
      <c r="D13" s="26" t="str">
        <f aca="false">TRIM(IF(AND(ABS('Реестр рисков'!$G$5-0.2)&lt;0.001,ABS('Реестр рисков'!$H$5-0.2)&lt;0.001),'Реестр рисков'!$B$5&amp;" ","")&amp;IF(AND(ABS('Реестр рисков'!$G$6-0.2)&lt;0.001,ABS('Реестр рисков'!$H$6-0.2)&lt;0.001),'Реестр рисков'!$B$6&amp;" ","")&amp;IF(AND(ABS('Реестр рисков'!$G$7-0.2)&lt;0.001,ABS('Реестр рисков'!$H$7-0.2)&lt;0.001),'Реестр рисков'!$B$7&amp;" ","")&amp;IF(AND(ABS('Реестр рисков'!$G$8-0.2)&lt;0.001,ABS('Реестр рисков'!$H$8-0.2)&lt;0.001),'Реестр рисков'!$B$8&amp;" ","")&amp;IF(AND(ABS('Реестр рисков'!$G$9-0.2)&lt;0.001,ABS('Реестр рисков'!$H$9-0.2)&lt;0.001),'Реестр рисков'!$B$9&amp;" ","")&amp;IF(AND(ABS('Реестр рисков'!$G$10-0.2)&lt;0.001,ABS('Реестр рисков'!$H$10-0.2)&lt;0.001),'Реестр рисков'!$B$10&amp;" ","")&amp;IF(AND(ABS('Реестр рисков'!$G$11-0.2)&lt;0.001,ABS('Реестр рисков'!$H$11-0.2)&lt;0.001),'Реестр рисков'!$B$11&amp;" ","")&amp;IF(AND(ABS('Реестр рисков'!$G$12-0.2)&lt;0.001,ABS('Реестр рисков'!$H$12-0.2)&lt;0.001),'Реестр рисков'!$B$12&amp;" ","")&amp;IF(AND(ABS('Реестр рисков'!$G$13-0.2)&lt;0.001,ABS('Реестр рисков'!$H$13-0.2)&lt;0.001),'Реестр рисков'!$B$13&amp;" ","")&amp;IF(AND(ABS('Реестр рисков'!$G$14-0.2)&lt;0.001,ABS('Реестр рисков'!$H$14-0.2)&lt;0.001),'Реестр рисков'!$B$14&amp;" ","")&amp;IF(AND(ABS('Реестр рисков'!$G$15-0.2)&lt;0.001,ABS('Реестр рисков'!$H$15-0.2)&lt;0.001),'Реестр рисков'!$B$15&amp;" ","")&amp;IF(AND(ABS('Реестр рисков'!$G$16-0.2)&lt;0.001,ABS('Реестр рисков'!$H$16-0.2)&lt;0.001),'Реестр рисков'!$B$16&amp;" ","")&amp;IF(AND(ABS('Реестр рисков'!$G$17-0.2)&lt;0.001,ABS('Реестр рисков'!$H$17-0.2)&lt;0.001),'Реестр рисков'!$B$17&amp;" ","")&amp;IF(AND(ABS('Реестр рисков'!$G$18-0.2)&lt;0.001,ABS('Реестр рисков'!$H$18-0.2)&lt;0.001),'Реестр рисков'!$B$18&amp;" ","")&amp;IF(AND(ABS('Реестр рисков'!$G$19-0.2)&lt;0.001,ABS('Реестр рисков'!$H$19-0.2)&lt;0.001),'Реестр рисков'!$B$19&amp;" ","")&amp;IF(AND(ABS('Реестр рисков'!$G$20-0.2)&lt;0.001,ABS('Реестр рисков'!$H$20-0.2)&lt;0.001),'Реестр рисков'!$B$20&amp;" ","")&amp;IF(AND(ABS('Реестр рисков'!$G$21-0.2)&lt;0.001,ABS('Реестр рисков'!$H$21-0.2)&lt;0.001),'Реестр рисков'!$B$21&amp;" ","")&amp;IF(AND(ABS('Реестр рисков'!$G$22-0.2)&lt;0.001,ABS('Реестр рисков'!$H$22-0.2)&lt;0.001),'Реестр рисков'!$B$22&amp;" ","")&amp;IF(AND(ABS('Реестр рисков'!$G$23-0.2)&lt;0.001,ABS('Реестр рисков'!$H$23-0.2)&lt;0.001),'Реестр рисков'!$B$23&amp;" ",""))</f>
        <v/>
      </c>
      <c r="E13" s="26" t="str">
        <f aca="false">TRIM(IF(AND(ABS('Реестр рисков'!$G$5-0.3)&lt;0.001,ABS('Реестр рисков'!$H$5-0.2)&lt;0.001),'Реестр рисков'!$B$5&amp;" ","")&amp;IF(AND(ABS('Реестр рисков'!$G$6-0.3)&lt;0.001,ABS('Реестр рисков'!$H$6-0.2)&lt;0.001),'Реестр рисков'!$B$6&amp;" ","")&amp;IF(AND(ABS('Реестр рисков'!$G$7-0.3)&lt;0.001,ABS('Реестр рисков'!$H$7-0.2)&lt;0.001),'Реестр рисков'!$B$7&amp;" ","")&amp;IF(AND(ABS('Реестр рисков'!$G$8-0.3)&lt;0.001,ABS('Реестр рисков'!$H$8-0.2)&lt;0.001),'Реестр рисков'!$B$8&amp;" ","")&amp;IF(AND(ABS('Реестр рисков'!$G$9-0.3)&lt;0.001,ABS('Реестр рисков'!$H$9-0.2)&lt;0.001),'Реестр рисков'!$B$9&amp;" ","")&amp;IF(AND(ABS('Реестр рисков'!$G$10-0.3)&lt;0.001,ABS('Реестр рисков'!$H$10-0.2)&lt;0.001),'Реестр рисков'!$B$10&amp;" ","")&amp;IF(AND(ABS('Реестр рисков'!$G$11-0.3)&lt;0.001,ABS('Реестр рисков'!$H$11-0.2)&lt;0.001),'Реестр рисков'!$B$11&amp;" ","")&amp;IF(AND(ABS('Реестр рисков'!$G$12-0.3)&lt;0.001,ABS('Реестр рисков'!$H$12-0.2)&lt;0.001),'Реестр рисков'!$B$12&amp;" ","")&amp;IF(AND(ABS('Реестр рисков'!$G$13-0.3)&lt;0.001,ABS('Реестр рисков'!$H$13-0.2)&lt;0.001),'Реестр рисков'!$B$13&amp;" ","")&amp;IF(AND(ABS('Реестр рисков'!$G$14-0.3)&lt;0.001,ABS('Реестр рисков'!$H$14-0.2)&lt;0.001),'Реестр рисков'!$B$14&amp;" ","")&amp;IF(AND(ABS('Реестр рисков'!$G$15-0.3)&lt;0.001,ABS('Реестр рисков'!$H$15-0.2)&lt;0.001),'Реестр рисков'!$B$15&amp;" ","")&amp;IF(AND(ABS('Реестр рисков'!$G$16-0.3)&lt;0.001,ABS('Реестр рисков'!$H$16-0.2)&lt;0.001),'Реестр рисков'!$B$16&amp;" ","")&amp;IF(AND(ABS('Реестр рисков'!$G$17-0.3)&lt;0.001,ABS('Реестр рисков'!$H$17-0.2)&lt;0.001),'Реестр рисков'!$B$17&amp;" ","")&amp;IF(AND(ABS('Реестр рисков'!$G$18-0.3)&lt;0.001,ABS('Реестр рисков'!$H$18-0.2)&lt;0.001),'Реестр рисков'!$B$18&amp;" ","")&amp;IF(AND(ABS('Реестр рисков'!$G$19-0.3)&lt;0.001,ABS('Реестр рисков'!$H$19-0.2)&lt;0.001),'Реестр рисков'!$B$19&amp;" ","")&amp;IF(AND(ABS('Реестр рисков'!$G$20-0.3)&lt;0.001,ABS('Реестр рисков'!$H$20-0.2)&lt;0.001),'Реестр рисков'!$B$20&amp;" ","")&amp;IF(AND(ABS('Реестр рисков'!$G$21-0.3)&lt;0.001,ABS('Реестр рисков'!$H$21-0.2)&lt;0.001),'Реестр рисков'!$B$21&amp;" ","")&amp;IF(AND(ABS('Реестр рисков'!$G$22-0.3)&lt;0.001,ABS('Реестр рисков'!$H$22-0.2)&lt;0.001),'Реестр рисков'!$B$22&amp;" ","")&amp;IF(AND(ABS('Реестр рисков'!$G$23-0.3)&lt;0.001,ABS('Реестр рисков'!$H$23-0.2)&lt;0.001),'Реестр рисков'!$B$23&amp;" ",""))</f>
        <v/>
      </c>
      <c r="F13" s="26" t="str">
        <f aca="false">TRIM(IF(AND(ABS('Реестр рисков'!$G$5-0.4)&lt;0.001,ABS('Реестр рисков'!$H$5-0.2)&lt;0.001),'Реестр рисков'!$B$5&amp;" ","")&amp;IF(AND(ABS('Реестр рисков'!$G$6-0.4)&lt;0.001,ABS('Реестр рисков'!$H$6-0.2)&lt;0.001),'Реестр рисков'!$B$6&amp;" ","")&amp;IF(AND(ABS('Реестр рисков'!$G$7-0.4)&lt;0.001,ABS('Реестр рисков'!$H$7-0.2)&lt;0.001),'Реестр рисков'!$B$7&amp;" ","")&amp;IF(AND(ABS('Реестр рисков'!$G$8-0.4)&lt;0.001,ABS('Реестр рисков'!$H$8-0.2)&lt;0.001),'Реестр рисков'!$B$8&amp;" ","")&amp;IF(AND(ABS('Реестр рисков'!$G$9-0.4)&lt;0.001,ABS('Реестр рисков'!$H$9-0.2)&lt;0.001),'Реестр рисков'!$B$9&amp;" ","")&amp;IF(AND(ABS('Реестр рисков'!$G$10-0.4)&lt;0.001,ABS('Реестр рисков'!$H$10-0.2)&lt;0.001),'Реестр рисков'!$B$10&amp;" ","")&amp;IF(AND(ABS('Реестр рисков'!$G$11-0.4)&lt;0.001,ABS('Реестр рисков'!$H$11-0.2)&lt;0.001),'Реестр рисков'!$B$11&amp;" ","")&amp;IF(AND(ABS('Реестр рисков'!$G$12-0.4)&lt;0.001,ABS('Реестр рисков'!$H$12-0.2)&lt;0.001),'Реестр рисков'!$B$12&amp;" ","")&amp;IF(AND(ABS('Реестр рисков'!$G$13-0.4)&lt;0.001,ABS('Реестр рисков'!$H$13-0.2)&lt;0.001),'Реестр рисков'!$B$13&amp;" ","")&amp;IF(AND(ABS('Реестр рисков'!$G$14-0.4)&lt;0.001,ABS('Реестр рисков'!$H$14-0.2)&lt;0.001),'Реестр рисков'!$B$14&amp;" ","")&amp;IF(AND(ABS('Реестр рисков'!$G$15-0.4)&lt;0.001,ABS('Реестр рисков'!$H$15-0.2)&lt;0.001),'Реестр рисков'!$B$15&amp;" ","")&amp;IF(AND(ABS('Реестр рисков'!$G$16-0.4)&lt;0.001,ABS('Реестр рисков'!$H$16-0.2)&lt;0.001),'Реестр рисков'!$B$16&amp;" ","")&amp;IF(AND(ABS('Реестр рисков'!$G$17-0.4)&lt;0.001,ABS('Реестр рисков'!$H$17-0.2)&lt;0.001),'Реестр рисков'!$B$17&amp;" ","")&amp;IF(AND(ABS('Реестр рисков'!$G$18-0.4)&lt;0.001,ABS('Реестр рисков'!$H$18-0.2)&lt;0.001),'Реестр рисков'!$B$18&amp;" ","")&amp;IF(AND(ABS('Реестр рисков'!$G$19-0.4)&lt;0.001,ABS('Реестр рисков'!$H$19-0.2)&lt;0.001),'Реестр рисков'!$B$19&amp;" ","")&amp;IF(AND(ABS('Реестр рисков'!$G$20-0.4)&lt;0.001,ABS('Реестр рисков'!$H$20-0.2)&lt;0.001),'Реестр рисков'!$B$20&amp;" ","")&amp;IF(AND(ABS('Реестр рисков'!$G$21-0.4)&lt;0.001,ABS('Реестр рисков'!$H$21-0.2)&lt;0.001),'Реестр рисков'!$B$21&amp;" ","")&amp;IF(AND(ABS('Реестр рисков'!$G$22-0.4)&lt;0.001,ABS('Реестр рисков'!$H$22-0.2)&lt;0.001),'Реестр рисков'!$B$22&amp;" ","")&amp;IF(AND(ABS('Реестр рисков'!$G$23-0.4)&lt;0.001,ABS('Реестр рисков'!$H$23-0.2)&lt;0.001),'Реестр рисков'!$B$23&amp;" ",""))</f>
        <v/>
      </c>
      <c r="G13" s="26" t="str">
        <f aca="false">TRIM(IF(AND(ABS('Реестр рисков'!$G$5-0.5)&lt;0.001,ABS('Реестр рисков'!$H$5-0.2)&lt;0.001),'Реестр рисков'!$B$5&amp;" ","")&amp;IF(AND(ABS('Реестр рисков'!$G$6-0.5)&lt;0.001,ABS('Реестр рисков'!$H$6-0.2)&lt;0.001),'Реестр рисков'!$B$6&amp;" ","")&amp;IF(AND(ABS('Реестр рисков'!$G$7-0.5)&lt;0.001,ABS('Реестр рисков'!$H$7-0.2)&lt;0.001),'Реестр рисков'!$B$7&amp;" ","")&amp;IF(AND(ABS('Реестр рисков'!$G$8-0.5)&lt;0.001,ABS('Реестр рисков'!$H$8-0.2)&lt;0.001),'Реестр рисков'!$B$8&amp;" ","")&amp;IF(AND(ABS('Реестр рисков'!$G$9-0.5)&lt;0.001,ABS('Реестр рисков'!$H$9-0.2)&lt;0.001),'Реестр рисков'!$B$9&amp;" ","")&amp;IF(AND(ABS('Реестр рисков'!$G$10-0.5)&lt;0.001,ABS('Реестр рисков'!$H$10-0.2)&lt;0.001),'Реестр рисков'!$B$10&amp;" ","")&amp;IF(AND(ABS('Реестр рисков'!$G$11-0.5)&lt;0.001,ABS('Реестр рисков'!$H$11-0.2)&lt;0.001),'Реестр рисков'!$B$11&amp;" ","")&amp;IF(AND(ABS('Реестр рисков'!$G$12-0.5)&lt;0.001,ABS('Реестр рисков'!$H$12-0.2)&lt;0.001),'Реестр рисков'!$B$12&amp;" ","")&amp;IF(AND(ABS('Реестр рисков'!$G$13-0.5)&lt;0.001,ABS('Реестр рисков'!$H$13-0.2)&lt;0.001),'Реестр рисков'!$B$13&amp;" ","")&amp;IF(AND(ABS('Реестр рисков'!$G$14-0.5)&lt;0.001,ABS('Реестр рисков'!$H$14-0.2)&lt;0.001),'Реестр рисков'!$B$14&amp;" ","")&amp;IF(AND(ABS('Реестр рисков'!$G$15-0.5)&lt;0.001,ABS('Реестр рисков'!$H$15-0.2)&lt;0.001),'Реестр рисков'!$B$15&amp;" ","")&amp;IF(AND(ABS('Реестр рисков'!$G$16-0.5)&lt;0.001,ABS('Реестр рисков'!$H$16-0.2)&lt;0.001),'Реестр рисков'!$B$16&amp;" ","")&amp;IF(AND(ABS('Реестр рисков'!$G$17-0.5)&lt;0.001,ABS('Реестр рисков'!$H$17-0.2)&lt;0.001),'Реестр рисков'!$B$17&amp;" ","")&amp;IF(AND(ABS('Реестр рисков'!$G$18-0.5)&lt;0.001,ABS('Реестр рисков'!$H$18-0.2)&lt;0.001),'Реестр рисков'!$B$18&amp;" ","")&amp;IF(AND(ABS('Реестр рисков'!$G$19-0.5)&lt;0.001,ABS('Реестр рисков'!$H$19-0.2)&lt;0.001),'Реестр рисков'!$B$19&amp;" ","")&amp;IF(AND(ABS('Реестр рисков'!$G$20-0.5)&lt;0.001,ABS('Реестр рисков'!$H$20-0.2)&lt;0.001),'Реестр рисков'!$B$20&amp;" ","")&amp;IF(AND(ABS('Реестр рисков'!$G$21-0.5)&lt;0.001,ABS('Реестр рисков'!$H$21-0.2)&lt;0.001),'Реестр рисков'!$B$21&amp;" ","")&amp;IF(AND(ABS('Реестр рисков'!$G$22-0.5)&lt;0.001,ABS('Реестр рисков'!$H$22-0.2)&lt;0.001),'Реестр рисков'!$B$22&amp;" ","")&amp;IF(AND(ABS('Реестр рисков'!$G$23-0.5)&lt;0.001,ABS('Реестр рисков'!$H$23-0.2)&lt;0.001),'Реестр рисков'!$B$23&amp;" ",""))</f>
        <v/>
      </c>
      <c r="H13" s="26" t="str">
        <f aca="false">TRIM(IF(AND(ABS('Реестр рисков'!$G$5-0.6)&lt;0.001,ABS('Реестр рисков'!$H$5-0.2)&lt;0.001),'Реестр рисков'!$B$5&amp;" ","")&amp;IF(AND(ABS('Реестр рисков'!$G$6-0.6)&lt;0.001,ABS('Реестр рисков'!$H$6-0.2)&lt;0.001),'Реестр рисков'!$B$6&amp;" ","")&amp;IF(AND(ABS('Реестр рисков'!$G$7-0.6)&lt;0.001,ABS('Реестр рисков'!$H$7-0.2)&lt;0.001),'Реестр рисков'!$B$7&amp;" ","")&amp;IF(AND(ABS('Реестр рисков'!$G$8-0.6)&lt;0.001,ABS('Реестр рисков'!$H$8-0.2)&lt;0.001),'Реестр рисков'!$B$8&amp;" ","")&amp;IF(AND(ABS('Реестр рисков'!$G$9-0.6)&lt;0.001,ABS('Реестр рисков'!$H$9-0.2)&lt;0.001),'Реестр рисков'!$B$9&amp;" ","")&amp;IF(AND(ABS('Реестр рисков'!$G$10-0.6)&lt;0.001,ABS('Реестр рисков'!$H$10-0.2)&lt;0.001),'Реестр рисков'!$B$10&amp;" ","")&amp;IF(AND(ABS('Реестр рисков'!$G$11-0.6)&lt;0.001,ABS('Реестр рисков'!$H$11-0.2)&lt;0.001),'Реестр рисков'!$B$11&amp;" ","")&amp;IF(AND(ABS('Реестр рисков'!$G$12-0.6)&lt;0.001,ABS('Реестр рисков'!$H$12-0.2)&lt;0.001),'Реестр рисков'!$B$12&amp;" ","")&amp;IF(AND(ABS('Реестр рисков'!$G$13-0.6)&lt;0.001,ABS('Реестр рисков'!$H$13-0.2)&lt;0.001),'Реестр рисков'!$B$13&amp;" ","")&amp;IF(AND(ABS('Реестр рисков'!$G$14-0.6)&lt;0.001,ABS('Реестр рисков'!$H$14-0.2)&lt;0.001),'Реестр рисков'!$B$14&amp;" ","")&amp;IF(AND(ABS('Реестр рисков'!$G$15-0.6)&lt;0.001,ABS('Реестр рисков'!$H$15-0.2)&lt;0.001),'Реестр рисков'!$B$15&amp;" ","")&amp;IF(AND(ABS('Реестр рисков'!$G$16-0.6)&lt;0.001,ABS('Реестр рисков'!$H$16-0.2)&lt;0.001),'Реестр рисков'!$B$16&amp;" ","")&amp;IF(AND(ABS('Реестр рисков'!$G$17-0.6)&lt;0.001,ABS('Реестр рисков'!$H$17-0.2)&lt;0.001),'Реестр рисков'!$B$17&amp;" ","")&amp;IF(AND(ABS('Реестр рисков'!$G$18-0.6)&lt;0.001,ABS('Реестр рисков'!$H$18-0.2)&lt;0.001),'Реестр рисков'!$B$18&amp;" ","")&amp;IF(AND(ABS('Реестр рисков'!$G$19-0.6)&lt;0.001,ABS('Реестр рисков'!$H$19-0.2)&lt;0.001),'Реестр рисков'!$B$19&amp;" ","")&amp;IF(AND(ABS('Реестр рисков'!$G$20-0.6)&lt;0.001,ABS('Реестр рисков'!$H$20-0.2)&lt;0.001),'Реестр рисков'!$B$20&amp;" ","")&amp;IF(AND(ABS('Реестр рисков'!$G$21-0.6)&lt;0.001,ABS('Реестр рисков'!$H$21-0.2)&lt;0.001),'Реестр рисков'!$B$21&amp;" ","")&amp;IF(AND(ABS('Реестр рисков'!$G$22-0.6)&lt;0.001,ABS('Реестр рисков'!$H$22-0.2)&lt;0.001),'Реестр рисков'!$B$22&amp;" ","")&amp;IF(AND(ABS('Реестр рисков'!$G$23-0.6)&lt;0.001,ABS('Реестр рисков'!$H$23-0.2)&lt;0.001),'Реестр рисков'!$B$23&amp;" ",""))</f>
        <v/>
      </c>
      <c r="I13" s="27" t="str">
        <f aca="false">TRIM(IF(AND(ABS('Реестр рисков'!$G$5-0.7)&lt;0.001,ABS('Реестр рисков'!$H$5-0.2)&lt;0.001),'Реестр рисков'!$B$5&amp;" ","")&amp;IF(AND(ABS('Реестр рисков'!$G$6-0.7)&lt;0.001,ABS('Реестр рисков'!$H$6-0.2)&lt;0.001),'Реестр рисков'!$B$6&amp;" ","")&amp;IF(AND(ABS('Реестр рисков'!$G$7-0.7)&lt;0.001,ABS('Реестр рисков'!$H$7-0.2)&lt;0.001),'Реестр рисков'!$B$7&amp;" ","")&amp;IF(AND(ABS('Реестр рисков'!$G$8-0.7)&lt;0.001,ABS('Реестр рисков'!$H$8-0.2)&lt;0.001),'Реестр рисков'!$B$8&amp;" ","")&amp;IF(AND(ABS('Реестр рисков'!$G$9-0.7)&lt;0.001,ABS('Реестр рисков'!$H$9-0.2)&lt;0.001),'Реестр рисков'!$B$9&amp;" ","")&amp;IF(AND(ABS('Реестр рисков'!$G$10-0.7)&lt;0.001,ABS('Реестр рисков'!$H$10-0.2)&lt;0.001),'Реестр рисков'!$B$10&amp;" ","")&amp;IF(AND(ABS('Реестр рисков'!$G$11-0.7)&lt;0.001,ABS('Реестр рисков'!$H$11-0.2)&lt;0.001),'Реестр рисков'!$B$11&amp;" ","")&amp;IF(AND(ABS('Реестр рисков'!$G$12-0.7)&lt;0.001,ABS('Реестр рисков'!$H$12-0.2)&lt;0.001),'Реестр рисков'!$B$12&amp;" ","")&amp;IF(AND(ABS('Реестр рисков'!$G$13-0.7)&lt;0.001,ABS('Реестр рисков'!$H$13-0.2)&lt;0.001),'Реестр рисков'!$B$13&amp;" ","")&amp;IF(AND(ABS('Реестр рисков'!$G$14-0.7)&lt;0.001,ABS('Реестр рисков'!$H$14-0.2)&lt;0.001),'Реестр рисков'!$B$14&amp;" ","")&amp;IF(AND(ABS('Реестр рисков'!$G$15-0.7)&lt;0.001,ABS('Реестр рисков'!$H$15-0.2)&lt;0.001),'Реестр рисков'!$B$15&amp;" ","")&amp;IF(AND(ABS('Реестр рисков'!$G$16-0.7)&lt;0.001,ABS('Реестр рисков'!$H$16-0.2)&lt;0.001),'Реестр рисков'!$B$16&amp;" ","")&amp;IF(AND(ABS('Реестр рисков'!$G$17-0.7)&lt;0.001,ABS('Реестр рисков'!$H$17-0.2)&lt;0.001),'Реестр рисков'!$B$17&amp;" ","")&amp;IF(AND(ABS('Реестр рисков'!$G$18-0.7)&lt;0.001,ABS('Реестр рисков'!$H$18-0.2)&lt;0.001),'Реестр рисков'!$B$18&amp;" ","")&amp;IF(AND(ABS('Реестр рисков'!$G$19-0.7)&lt;0.001,ABS('Реестр рисков'!$H$19-0.2)&lt;0.001),'Реестр рисков'!$B$19&amp;" ","")&amp;IF(AND(ABS('Реестр рисков'!$G$20-0.7)&lt;0.001,ABS('Реестр рисков'!$H$20-0.2)&lt;0.001),'Реестр рисков'!$B$20&amp;" ","")&amp;IF(AND(ABS('Реестр рисков'!$G$21-0.7)&lt;0.001,ABS('Реестр рисков'!$H$21-0.2)&lt;0.001),'Реестр рисков'!$B$21&amp;" ","")&amp;IF(AND(ABS('Реестр рисков'!$G$22-0.7)&lt;0.001,ABS('Реестр рисков'!$H$22-0.2)&lt;0.001),'Реестр рисков'!$B$22&amp;" ","")&amp;IF(AND(ABS('Реестр рисков'!$G$23-0.7)&lt;0.001,ABS('Реестр рисков'!$H$23-0.2)&lt;0.001),'Реестр рисков'!$B$23&amp;" ",""))</f>
        <v/>
      </c>
      <c r="J13" s="27" t="str">
        <f aca="false">TRIM(IF(AND(ABS('Реестр рисков'!$G$5-0.8)&lt;0.001,ABS('Реестр рисков'!$H$5-0.2)&lt;0.001),'Реестр рисков'!$B$5&amp;" ","")&amp;IF(AND(ABS('Реестр рисков'!$G$6-0.8)&lt;0.001,ABS('Реестр рисков'!$H$6-0.2)&lt;0.001),'Реестр рисков'!$B$6&amp;" ","")&amp;IF(AND(ABS('Реестр рисков'!$G$7-0.8)&lt;0.001,ABS('Реестр рисков'!$H$7-0.2)&lt;0.001),'Реестр рисков'!$B$7&amp;" ","")&amp;IF(AND(ABS('Реестр рисков'!$G$8-0.8)&lt;0.001,ABS('Реестр рисков'!$H$8-0.2)&lt;0.001),'Реестр рисков'!$B$8&amp;" ","")&amp;IF(AND(ABS('Реестр рисков'!$G$9-0.8)&lt;0.001,ABS('Реестр рисков'!$H$9-0.2)&lt;0.001),'Реестр рисков'!$B$9&amp;" ","")&amp;IF(AND(ABS('Реестр рисков'!$G$10-0.8)&lt;0.001,ABS('Реестр рисков'!$H$10-0.2)&lt;0.001),'Реестр рисков'!$B$10&amp;" ","")&amp;IF(AND(ABS('Реестр рисков'!$G$11-0.8)&lt;0.001,ABS('Реестр рисков'!$H$11-0.2)&lt;0.001),'Реестр рисков'!$B$11&amp;" ","")&amp;IF(AND(ABS('Реестр рисков'!$G$12-0.8)&lt;0.001,ABS('Реестр рисков'!$H$12-0.2)&lt;0.001),'Реестр рисков'!$B$12&amp;" ","")&amp;IF(AND(ABS('Реестр рисков'!$G$13-0.8)&lt;0.001,ABS('Реестр рисков'!$H$13-0.2)&lt;0.001),'Реестр рисков'!$B$13&amp;" ","")&amp;IF(AND(ABS('Реестр рисков'!$G$14-0.8)&lt;0.001,ABS('Реестр рисков'!$H$14-0.2)&lt;0.001),'Реестр рисков'!$B$14&amp;" ","")&amp;IF(AND(ABS('Реестр рисков'!$G$15-0.8)&lt;0.001,ABS('Реестр рисков'!$H$15-0.2)&lt;0.001),'Реестр рисков'!$B$15&amp;" ","")&amp;IF(AND(ABS('Реестр рисков'!$G$16-0.8)&lt;0.001,ABS('Реестр рисков'!$H$16-0.2)&lt;0.001),'Реестр рисков'!$B$16&amp;" ","")&amp;IF(AND(ABS('Реестр рисков'!$G$17-0.8)&lt;0.001,ABS('Реестр рисков'!$H$17-0.2)&lt;0.001),'Реестр рисков'!$B$17&amp;" ","")&amp;IF(AND(ABS('Реестр рисков'!$G$18-0.8)&lt;0.001,ABS('Реестр рисков'!$H$18-0.2)&lt;0.001),'Реестр рисков'!$B$18&amp;" ","")&amp;IF(AND(ABS('Реестр рисков'!$G$19-0.8)&lt;0.001,ABS('Реестр рисков'!$H$19-0.2)&lt;0.001),'Реестр рисков'!$B$19&amp;" ","")&amp;IF(AND(ABS('Реестр рисков'!$G$20-0.8)&lt;0.001,ABS('Реестр рисков'!$H$20-0.2)&lt;0.001),'Реестр рисков'!$B$20&amp;" ","")&amp;IF(AND(ABS('Реестр рисков'!$G$21-0.8)&lt;0.001,ABS('Реестр рисков'!$H$21-0.2)&lt;0.001),'Реестр рисков'!$B$21&amp;" ","")&amp;IF(AND(ABS('Реестр рисков'!$G$22-0.8)&lt;0.001,ABS('Реестр рисков'!$H$22-0.2)&lt;0.001),'Реестр рисков'!$B$22&amp;" ","")&amp;IF(AND(ABS('Реестр рисков'!$G$23-0.8)&lt;0.001,ABS('Реестр рисков'!$H$23-0.2)&lt;0.001),'Реестр рисков'!$B$23&amp;" ",""))</f>
        <v/>
      </c>
      <c r="K13" s="27" t="str">
        <f aca="false">TRIM(IF(AND(ABS('Реестр рисков'!$G$5-0.9)&lt;0.001,ABS('Реестр рисков'!$H$5-0.2)&lt;0.001),'Реестр рисков'!$B$5&amp;" ","")&amp;IF(AND(ABS('Реестр рисков'!$G$6-0.9)&lt;0.001,ABS('Реестр рисков'!$H$6-0.2)&lt;0.001),'Реестр рисков'!$B$6&amp;" ","")&amp;IF(AND(ABS('Реестр рисков'!$G$7-0.9)&lt;0.001,ABS('Реестр рисков'!$H$7-0.2)&lt;0.001),'Реестр рисков'!$B$7&amp;" ","")&amp;IF(AND(ABS('Реестр рисков'!$G$8-0.9)&lt;0.001,ABS('Реестр рисков'!$H$8-0.2)&lt;0.001),'Реестр рисков'!$B$8&amp;" ","")&amp;IF(AND(ABS('Реестр рисков'!$G$9-0.9)&lt;0.001,ABS('Реестр рисков'!$H$9-0.2)&lt;0.001),'Реестр рисков'!$B$9&amp;" ","")&amp;IF(AND(ABS('Реестр рисков'!$G$10-0.9)&lt;0.001,ABS('Реестр рисков'!$H$10-0.2)&lt;0.001),'Реестр рисков'!$B$10&amp;" ","")&amp;IF(AND(ABS('Реестр рисков'!$G$11-0.9)&lt;0.001,ABS('Реестр рисков'!$H$11-0.2)&lt;0.001),'Реестр рисков'!$B$11&amp;" ","")&amp;IF(AND(ABS('Реестр рисков'!$G$12-0.9)&lt;0.001,ABS('Реестр рисков'!$H$12-0.2)&lt;0.001),'Реестр рисков'!$B$12&amp;" ","")&amp;IF(AND(ABS('Реестр рисков'!$G$13-0.9)&lt;0.001,ABS('Реестр рисков'!$H$13-0.2)&lt;0.001),'Реестр рисков'!$B$13&amp;" ","")&amp;IF(AND(ABS('Реестр рисков'!$G$14-0.9)&lt;0.001,ABS('Реестр рисков'!$H$14-0.2)&lt;0.001),'Реестр рисков'!$B$14&amp;" ","")&amp;IF(AND(ABS('Реестр рисков'!$G$15-0.9)&lt;0.001,ABS('Реестр рисков'!$H$15-0.2)&lt;0.001),'Реестр рисков'!$B$15&amp;" ","")&amp;IF(AND(ABS('Реестр рисков'!$G$16-0.9)&lt;0.001,ABS('Реестр рисков'!$H$16-0.2)&lt;0.001),'Реестр рисков'!$B$16&amp;" ","")&amp;IF(AND(ABS('Реестр рисков'!$G$17-0.9)&lt;0.001,ABS('Реестр рисков'!$H$17-0.2)&lt;0.001),'Реестр рисков'!$B$17&amp;" ","")&amp;IF(AND(ABS('Реестр рисков'!$G$18-0.9)&lt;0.001,ABS('Реестр рисков'!$H$18-0.2)&lt;0.001),'Реестр рисков'!$B$18&amp;" ","")&amp;IF(AND(ABS('Реестр рисков'!$G$19-0.9)&lt;0.001,ABS('Реестр рисков'!$H$19-0.2)&lt;0.001),'Реестр рисков'!$B$19&amp;" ","")&amp;IF(AND(ABS('Реестр рисков'!$G$20-0.9)&lt;0.001,ABS('Реестр рисков'!$H$20-0.2)&lt;0.001),'Реестр рисков'!$B$20&amp;" ","")&amp;IF(AND(ABS('Реестр рисков'!$G$21-0.9)&lt;0.001,ABS('Реестр рисков'!$H$21-0.2)&lt;0.001),'Реестр рисков'!$B$21&amp;" ","")&amp;IF(AND(ABS('Реестр рисков'!$G$22-0.9)&lt;0.001,ABS('Реестр рисков'!$H$22-0.2)&lt;0.001),'Реестр рисков'!$B$22&amp;" ","")&amp;IF(AND(ABS('Реестр рисков'!$G$23-0.9)&lt;0.001,ABS('Реестр рисков'!$H$23-0.2)&lt;0.001),'Реестр рисков'!$B$23&amp;" ",""))</f>
        <v/>
      </c>
      <c r="L13" s="27" t="str">
        <f aca="false">TRIM(IF(AND(ABS('Реестр рисков'!$G$5-1)&lt;0.001,ABS('Реестр рисков'!$H$5-0.2)&lt;0.001),'Реестр рисков'!$B$5&amp;" ","")&amp;IF(AND(ABS('Реестр рисков'!$G$6-1)&lt;0.001,ABS('Реестр рисков'!$H$6-0.2)&lt;0.001),'Реестр рисков'!$B$6&amp;" ","")&amp;IF(AND(ABS('Реестр рисков'!$G$7-1)&lt;0.001,ABS('Реестр рисков'!$H$7-0.2)&lt;0.001),'Реестр рисков'!$B$7&amp;" ","")&amp;IF(AND(ABS('Реестр рисков'!$G$8-1)&lt;0.001,ABS('Реестр рисков'!$H$8-0.2)&lt;0.001),'Реестр рисков'!$B$8&amp;" ","")&amp;IF(AND(ABS('Реестр рисков'!$G$9-1)&lt;0.001,ABS('Реестр рисков'!$H$9-0.2)&lt;0.001),'Реестр рисков'!$B$9&amp;" ","")&amp;IF(AND(ABS('Реестр рисков'!$G$10-1)&lt;0.001,ABS('Реестр рисков'!$H$10-0.2)&lt;0.001),'Реестр рисков'!$B$10&amp;" ","")&amp;IF(AND(ABS('Реестр рисков'!$G$11-1)&lt;0.001,ABS('Реестр рисков'!$H$11-0.2)&lt;0.001),'Реестр рисков'!$B$11&amp;" ","")&amp;IF(AND(ABS('Реестр рисков'!$G$12-1)&lt;0.001,ABS('Реестр рисков'!$H$12-0.2)&lt;0.001),'Реестр рисков'!$B$12&amp;" ","")&amp;IF(AND(ABS('Реестр рисков'!$G$13-1)&lt;0.001,ABS('Реестр рисков'!$H$13-0.2)&lt;0.001),'Реестр рисков'!$B$13&amp;" ","")&amp;IF(AND(ABS('Реестр рисков'!$G$14-1)&lt;0.001,ABS('Реестр рисков'!$H$14-0.2)&lt;0.001),'Реестр рисков'!$B$14&amp;" ","")&amp;IF(AND(ABS('Реестр рисков'!$G$15-1)&lt;0.001,ABS('Реестр рисков'!$H$15-0.2)&lt;0.001),'Реестр рисков'!$B$15&amp;" ","")&amp;IF(AND(ABS('Реестр рисков'!$G$16-1)&lt;0.001,ABS('Реестр рисков'!$H$16-0.2)&lt;0.001),'Реестр рисков'!$B$16&amp;" ","")&amp;IF(AND(ABS('Реестр рисков'!$G$17-1)&lt;0.001,ABS('Реестр рисков'!$H$17-0.2)&lt;0.001),'Реестр рисков'!$B$17&amp;" ","")&amp;IF(AND(ABS('Реестр рисков'!$G$18-1)&lt;0.001,ABS('Реестр рисков'!$H$18-0.2)&lt;0.001),'Реестр рисков'!$B$18&amp;" ","")&amp;IF(AND(ABS('Реестр рисков'!$G$19-1)&lt;0.001,ABS('Реестр рисков'!$H$19-0.2)&lt;0.001),'Реестр рисков'!$B$19&amp;" ","")&amp;IF(AND(ABS('Реестр рисков'!$G$20-1)&lt;0.001,ABS('Реестр рисков'!$H$20-0.2)&lt;0.001),'Реестр рисков'!$B$20&amp;" ","")&amp;IF(AND(ABS('Реестр рисков'!$G$21-1)&lt;0.001,ABS('Реестр рисков'!$H$21-0.2)&lt;0.001),'Реестр рисков'!$B$21&amp;" ","")&amp;IF(AND(ABS('Реестр рисков'!$G$22-1)&lt;0.001,ABS('Реестр рисков'!$H$22-0.2)&lt;0.001),'Реестр рисков'!$B$22&amp;" ","")&amp;IF(AND(ABS('Реестр рисков'!$G$23-1)&lt;0.001,ABS('Реестр рисков'!$H$23-0.2)&lt;0.001),'Реестр рисков'!$B$23&amp;" ",""))</f>
        <v/>
      </c>
    </row>
    <row r="14" customFormat="false" ht="30" hidden="false" customHeight="true" outlineLevel="0" collapsed="false">
      <c r="A14" s="24"/>
      <c r="B14" s="25" t="n">
        <v>0.1</v>
      </c>
      <c r="C14" s="26" t="str">
        <f aca="false">TRIM(IF(AND(ABS('Реестр рисков'!$G$5-0.1)&lt;0.001,ABS('Реестр рисков'!$H$5-0.1)&lt;0.001),'Реестр рисков'!$B$5&amp;" ","")&amp;IF(AND(ABS('Реестр рисков'!$G$6-0.1)&lt;0.001,ABS('Реестр рисков'!$H$6-0.1)&lt;0.001),'Реестр рисков'!$B$6&amp;" ","")&amp;IF(AND(ABS('Реестр рисков'!$G$7-0.1)&lt;0.001,ABS('Реестр рисков'!$H$7-0.1)&lt;0.001),'Реестр рисков'!$B$7&amp;" ","")&amp;IF(AND(ABS('Реестр рисков'!$G$8-0.1)&lt;0.001,ABS('Реестр рисков'!$H$8-0.1)&lt;0.001),'Реестр рисков'!$B$8&amp;" ","")&amp;IF(AND(ABS('Реестр рисков'!$G$9-0.1)&lt;0.001,ABS('Реестр рисков'!$H$9-0.1)&lt;0.001),'Реестр рисков'!$B$9&amp;" ","")&amp;IF(AND(ABS('Реестр рисков'!$G$10-0.1)&lt;0.001,ABS('Реестр рисков'!$H$10-0.1)&lt;0.001),'Реестр рисков'!$B$10&amp;" ","")&amp;IF(AND(ABS('Реестр рисков'!$G$11-0.1)&lt;0.001,ABS('Реестр рисков'!$H$11-0.1)&lt;0.001),'Реестр рисков'!$B$11&amp;" ","")&amp;IF(AND(ABS('Реестр рисков'!$G$12-0.1)&lt;0.001,ABS('Реестр рисков'!$H$12-0.1)&lt;0.001),'Реестр рисков'!$B$12&amp;" ","")&amp;IF(AND(ABS('Реестр рисков'!$G$13-0.1)&lt;0.001,ABS('Реестр рисков'!$H$13-0.1)&lt;0.001),'Реестр рисков'!$B$13&amp;" ","")&amp;IF(AND(ABS('Реестр рисков'!$G$14-0.1)&lt;0.001,ABS('Реестр рисков'!$H$14-0.1)&lt;0.001),'Реестр рисков'!$B$14&amp;" ","")&amp;IF(AND(ABS('Реестр рисков'!$G$15-0.1)&lt;0.001,ABS('Реестр рисков'!$H$15-0.1)&lt;0.001),'Реестр рисков'!$B$15&amp;" ","")&amp;IF(AND(ABS('Реестр рисков'!$G$16-0.1)&lt;0.001,ABS('Реестр рисков'!$H$16-0.1)&lt;0.001),'Реестр рисков'!$B$16&amp;" ","")&amp;IF(AND(ABS('Реестр рисков'!$G$17-0.1)&lt;0.001,ABS('Реестр рисков'!$H$17-0.1)&lt;0.001),'Реестр рисков'!$B$17&amp;" ","")&amp;IF(AND(ABS('Реестр рисков'!$G$18-0.1)&lt;0.001,ABS('Реестр рисков'!$H$18-0.1)&lt;0.001),'Реестр рисков'!$B$18&amp;" ","")&amp;IF(AND(ABS('Реестр рисков'!$G$19-0.1)&lt;0.001,ABS('Реестр рисков'!$H$19-0.1)&lt;0.001),'Реестр рисков'!$B$19&amp;" ","")&amp;IF(AND(ABS('Реестр рисков'!$G$20-0.1)&lt;0.001,ABS('Реестр рисков'!$H$20-0.1)&lt;0.001),'Реестр рисков'!$B$20&amp;" ","")&amp;IF(AND(ABS('Реестр рисков'!$G$21-0.1)&lt;0.001,ABS('Реестр рисков'!$H$21-0.1)&lt;0.001),'Реестр рисков'!$B$21&amp;" ","")&amp;IF(AND(ABS('Реестр рисков'!$G$22-0.1)&lt;0.001,ABS('Реестр рисков'!$H$22-0.1)&lt;0.001),'Реестр рисков'!$B$22&amp;" ","")&amp;IF(AND(ABS('Реестр рисков'!$G$23-0.1)&lt;0.001,ABS('Реестр рисков'!$H$23-0.1)&lt;0.001),'Реестр рисков'!$B$23&amp;" ",""))</f>
        <v/>
      </c>
      <c r="D14" s="26" t="str">
        <f aca="false">TRIM(IF(AND(ABS('Реестр рисков'!$G$5-0.2)&lt;0.001,ABS('Реестр рисков'!$H$5-0.1)&lt;0.001),'Реестр рисков'!$B$5&amp;" ","")&amp;IF(AND(ABS('Реестр рисков'!$G$6-0.2)&lt;0.001,ABS('Реестр рисков'!$H$6-0.1)&lt;0.001),'Реестр рисков'!$B$6&amp;" ","")&amp;IF(AND(ABS('Реестр рисков'!$G$7-0.2)&lt;0.001,ABS('Реестр рисков'!$H$7-0.1)&lt;0.001),'Реестр рисков'!$B$7&amp;" ","")&amp;IF(AND(ABS('Реестр рисков'!$G$8-0.2)&lt;0.001,ABS('Реестр рисков'!$H$8-0.1)&lt;0.001),'Реестр рисков'!$B$8&amp;" ","")&amp;IF(AND(ABS('Реестр рисков'!$G$9-0.2)&lt;0.001,ABS('Реестр рисков'!$H$9-0.1)&lt;0.001),'Реестр рисков'!$B$9&amp;" ","")&amp;IF(AND(ABS('Реестр рисков'!$G$10-0.2)&lt;0.001,ABS('Реестр рисков'!$H$10-0.1)&lt;0.001),'Реестр рисков'!$B$10&amp;" ","")&amp;IF(AND(ABS('Реестр рисков'!$G$11-0.2)&lt;0.001,ABS('Реестр рисков'!$H$11-0.1)&lt;0.001),'Реестр рисков'!$B$11&amp;" ","")&amp;IF(AND(ABS('Реестр рисков'!$G$12-0.2)&lt;0.001,ABS('Реестр рисков'!$H$12-0.1)&lt;0.001),'Реестр рисков'!$B$12&amp;" ","")&amp;IF(AND(ABS('Реестр рисков'!$G$13-0.2)&lt;0.001,ABS('Реестр рисков'!$H$13-0.1)&lt;0.001),'Реестр рисков'!$B$13&amp;" ","")&amp;IF(AND(ABS('Реестр рисков'!$G$14-0.2)&lt;0.001,ABS('Реестр рисков'!$H$14-0.1)&lt;0.001),'Реестр рисков'!$B$14&amp;" ","")&amp;IF(AND(ABS('Реестр рисков'!$G$15-0.2)&lt;0.001,ABS('Реестр рисков'!$H$15-0.1)&lt;0.001),'Реестр рисков'!$B$15&amp;" ","")&amp;IF(AND(ABS('Реестр рисков'!$G$16-0.2)&lt;0.001,ABS('Реестр рисков'!$H$16-0.1)&lt;0.001),'Реестр рисков'!$B$16&amp;" ","")&amp;IF(AND(ABS('Реестр рисков'!$G$17-0.2)&lt;0.001,ABS('Реестр рисков'!$H$17-0.1)&lt;0.001),'Реестр рисков'!$B$17&amp;" ","")&amp;IF(AND(ABS('Реестр рисков'!$G$18-0.2)&lt;0.001,ABS('Реестр рисков'!$H$18-0.1)&lt;0.001),'Реестр рисков'!$B$18&amp;" ","")&amp;IF(AND(ABS('Реестр рисков'!$G$19-0.2)&lt;0.001,ABS('Реестр рисков'!$H$19-0.1)&lt;0.001),'Реестр рисков'!$B$19&amp;" ","")&amp;IF(AND(ABS('Реестр рисков'!$G$20-0.2)&lt;0.001,ABS('Реестр рисков'!$H$20-0.1)&lt;0.001),'Реестр рисков'!$B$20&amp;" ","")&amp;IF(AND(ABS('Реестр рисков'!$G$21-0.2)&lt;0.001,ABS('Реестр рисков'!$H$21-0.1)&lt;0.001),'Реестр рисков'!$B$21&amp;" ","")&amp;IF(AND(ABS('Реестр рисков'!$G$22-0.2)&lt;0.001,ABS('Реестр рисков'!$H$22-0.1)&lt;0.001),'Реестр рисков'!$B$22&amp;" ","")&amp;IF(AND(ABS('Реестр рисков'!$G$23-0.2)&lt;0.001,ABS('Реестр рисков'!$H$23-0.1)&lt;0.001),'Реестр рисков'!$B$23&amp;" ",""))</f>
        <v/>
      </c>
      <c r="E14" s="26" t="str">
        <f aca="false">TRIM(IF(AND(ABS('Реестр рисков'!$G$5-0.3)&lt;0.001,ABS('Реестр рисков'!$H$5-0.1)&lt;0.001),'Реестр рисков'!$B$5&amp;" ","")&amp;IF(AND(ABS('Реестр рисков'!$G$6-0.3)&lt;0.001,ABS('Реестр рисков'!$H$6-0.1)&lt;0.001),'Реестр рисков'!$B$6&amp;" ","")&amp;IF(AND(ABS('Реестр рисков'!$G$7-0.3)&lt;0.001,ABS('Реестр рисков'!$H$7-0.1)&lt;0.001),'Реестр рисков'!$B$7&amp;" ","")&amp;IF(AND(ABS('Реестр рисков'!$G$8-0.3)&lt;0.001,ABS('Реестр рисков'!$H$8-0.1)&lt;0.001),'Реестр рисков'!$B$8&amp;" ","")&amp;IF(AND(ABS('Реестр рисков'!$G$9-0.3)&lt;0.001,ABS('Реестр рисков'!$H$9-0.1)&lt;0.001),'Реестр рисков'!$B$9&amp;" ","")&amp;IF(AND(ABS('Реестр рисков'!$G$10-0.3)&lt;0.001,ABS('Реестр рисков'!$H$10-0.1)&lt;0.001),'Реестр рисков'!$B$10&amp;" ","")&amp;IF(AND(ABS('Реестр рисков'!$G$11-0.3)&lt;0.001,ABS('Реестр рисков'!$H$11-0.1)&lt;0.001),'Реестр рисков'!$B$11&amp;" ","")&amp;IF(AND(ABS('Реестр рисков'!$G$12-0.3)&lt;0.001,ABS('Реестр рисков'!$H$12-0.1)&lt;0.001),'Реестр рисков'!$B$12&amp;" ","")&amp;IF(AND(ABS('Реестр рисков'!$G$13-0.3)&lt;0.001,ABS('Реестр рисков'!$H$13-0.1)&lt;0.001),'Реестр рисков'!$B$13&amp;" ","")&amp;IF(AND(ABS('Реестр рисков'!$G$14-0.3)&lt;0.001,ABS('Реестр рисков'!$H$14-0.1)&lt;0.001),'Реестр рисков'!$B$14&amp;" ","")&amp;IF(AND(ABS('Реестр рисков'!$G$15-0.3)&lt;0.001,ABS('Реестр рисков'!$H$15-0.1)&lt;0.001),'Реестр рисков'!$B$15&amp;" ","")&amp;IF(AND(ABS('Реестр рисков'!$G$16-0.3)&lt;0.001,ABS('Реестр рисков'!$H$16-0.1)&lt;0.001),'Реестр рисков'!$B$16&amp;" ","")&amp;IF(AND(ABS('Реестр рисков'!$G$17-0.3)&lt;0.001,ABS('Реестр рисков'!$H$17-0.1)&lt;0.001),'Реестр рисков'!$B$17&amp;" ","")&amp;IF(AND(ABS('Реестр рисков'!$G$18-0.3)&lt;0.001,ABS('Реестр рисков'!$H$18-0.1)&lt;0.001),'Реестр рисков'!$B$18&amp;" ","")&amp;IF(AND(ABS('Реестр рисков'!$G$19-0.3)&lt;0.001,ABS('Реестр рисков'!$H$19-0.1)&lt;0.001),'Реестр рисков'!$B$19&amp;" ","")&amp;IF(AND(ABS('Реестр рисков'!$G$20-0.3)&lt;0.001,ABS('Реестр рисков'!$H$20-0.1)&lt;0.001),'Реестр рисков'!$B$20&amp;" ","")&amp;IF(AND(ABS('Реестр рисков'!$G$21-0.3)&lt;0.001,ABS('Реестр рисков'!$H$21-0.1)&lt;0.001),'Реестр рисков'!$B$21&amp;" ","")&amp;IF(AND(ABS('Реестр рисков'!$G$22-0.3)&lt;0.001,ABS('Реестр рисков'!$H$22-0.1)&lt;0.001),'Реестр рисков'!$B$22&amp;" ","")&amp;IF(AND(ABS('Реестр рисков'!$G$23-0.3)&lt;0.001,ABS('Реестр рисков'!$H$23-0.1)&lt;0.001),'Реестр рисков'!$B$23&amp;" ",""))</f>
        <v/>
      </c>
      <c r="F14" s="26" t="str">
        <f aca="false">TRIM(IF(AND(ABS('Реестр рисков'!$G$5-0.4)&lt;0.001,ABS('Реестр рисков'!$H$5-0.1)&lt;0.001),'Реестр рисков'!$B$5&amp;" ","")&amp;IF(AND(ABS('Реестр рисков'!$G$6-0.4)&lt;0.001,ABS('Реестр рисков'!$H$6-0.1)&lt;0.001),'Реестр рисков'!$B$6&amp;" ","")&amp;IF(AND(ABS('Реестр рисков'!$G$7-0.4)&lt;0.001,ABS('Реестр рисков'!$H$7-0.1)&lt;0.001),'Реестр рисков'!$B$7&amp;" ","")&amp;IF(AND(ABS('Реестр рисков'!$G$8-0.4)&lt;0.001,ABS('Реестр рисков'!$H$8-0.1)&lt;0.001),'Реестр рисков'!$B$8&amp;" ","")&amp;IF(AND(ABS('Реестр рисков'!$G$9-0.4)&lt;0.001,ABS('Реестр рисков'!$H$9-0.1)&lt;0.001),'Реестр рисков'!$B$9&amp;" ","")&amp;IF(AND(ABS('Реестр рисков'!$G$10-0.4)&lt;0.001,ABS('Реестр рисков'!$H$10-0.1)&lt;0.001),'Реестр рисков'!$B$10&amp;" ","")&amp;IF(AND(ABS('Реестр рисков'!$G$11-0.4)&lt;0.001,ABS('Реестр рисков'!$H$11-0.1)&lt;0.001),'Реестр рисков'!$B$11&amp;" ","")&amp;IF(AND(ABS('Реестр рисков'!$G$12-0.4)&lt;0.001,ABS('Реестр рисков'!$H$12-0.1)&lt;0.001),'Реестр рисков'!$B$12&amp;" ","")&amp;IF(AND(ABS('Реестр рисков'!$G$13-0.4)&lt;0.001,ABS('Реестр рисков'!$H$13-0.1)&lt;0.001),'Реестр рисков'!$B$13&amp;" ","")&amp;IF(AND(ABS('Реестр рисков'!$G$14-0.4)&lt;0.001,ABS('Реестр рисков'!$H$14-0.1)&lt;0.001),'Реестр рисков'!$B$14&amp;" ","")&amp;IF(AND(ABS('Реестр рисков'!$G$15-0.4)&lt;0.001,ABS('Реестр рисков'!$H$15-0.1)&lt;0.001),'Реестр рисков'!$B$15&amp;" ","")&amp;IF(AND(ABS('Реестр рисков'!$G$16-0.4)&lt;0.001,ABS('Реестр рисков'!$H$16-0.1)&lt;0.001),'Реестр рисков'!$B$16&amp;" ","")&amp;IF(AND(ABS('Реестр рисков'!$G$17-0.4)&lt;0.001,ABS('Реестр рисков'!$H$17-0.1)&lt;0.001),'Реестр рисков'!$B$17&amp;" ","")&amp;IF(AND(ABS('Реестр рисков'!$G$18-0.4)&lt;0.001,ABS('Реестр рисков'!$H$18-0.1)&lt;0.001),'Реестр рисков'!$B$18&amp;" ","")&amp;IF(AND(ABS('Реестр рисков'!$G$19-0.4)&lt;0.001,ABS('Реестр рисков'!$H$19-0.1)&lt;0.001),'Реестр рисков'!$B$19&amp;" ","")&amp;IF(AND(ABS('Реестр рисков'!$G$20-0.4)&lt;0.001,ABS('Реестр рисков'!$H$20-0.1)&lt;0.001),'Реестр рисков'!$B$20&amp;" ","")&amp;IF(AND(ABS('Реестр рисков'!$G$21-0.4)&lt;0.001,ABS('Реестр рисков'!$H$21-0.1)&lt;0.001),'Реестр рисков'!$B$21&amp;" ","")&amp;IF(AND(ABS('Реестр рисков'!$G$22-0.4)&lt;0.001,ABS('Реестр рисков'!$H$22-0.1)&lt;0.001),'Реестр рисков'!$B$22&amp;" ","")&amp;IF(AND(ABS('Реестр рисков'!$G$23-0.4)&lt;0.001,ABS('Реестр рисков'!$H$23-0.1)&lt;0.001),'Реестр рисков'!$B$23&amp;" ",""))</f>
        <v/>
      </c>
      <c r="G14" s="26" t="str">
        <f aca="false">TRIM(IF(AND(ABS('Реестр рисков'!$G$5-0.5)&lt;0.001,ABS('Реестр рисков'!$H$5-0.1)&lt;0.001),'Реестр рисков'!$B$5&amp;" ","")&amp;IF(AND(ABS('Реестр рисков'!$G$6-0.5)&lt;0.001,ABS('Реестр рисков'!$H$6-0.1)&lt;0.001),'Реестр рисков'!$B$6&amp;" ","")&amp;IF(AND(ABS('Реестр рисков'!$G$7-0.5)&lt;0.001,ABS('Реестр рисков'!$H$7-0.1)&lt;0.001),'Реестр рисков'!$B$7&amp;" ","")&amp;IF(AND(ABS('Реестр рисков'!$G$8-0.5)&lt;0.001,ABS('Реестр рисков'!$H$8-0.1)&lt;0.001),'Реестр рисков'!$B$8&amp;" ","")&amp;IF(AND(ABS('Реестр рисков'!$G$9-0.5)&lt;0.001,ABS('Реестр рисков'!$H$9-0.1)&lt;0.001),'Реестр рисков'!$B$9&amp;" ","")&amp;IF(AND(ABS('Реестр рисков'!$G$10-0.5)&lt;0.001,ABS('Реестр рисков'!$H$10-0.1)&lt;0.001),'Реестр рисков'!$B$10&amp;" ","")&amp;IF(AND(ABS('Реестр рисков'!$G$11-0.5)&lt;0.001,ABS('Реестр рисков'!$H$11-0.1)&lt;0.001),'Реестр рисков'!$B$11&amp;" ","")&amp;IF(AND(ABS('Реестр рисков'!$G$12-0.5)&lt;0.001,ABS('Реестр рисков'!$H$12-0.1)&lt;0.001),'Реестр рисков'!$B$12&amp;" ","")&amp;IF(AND(ABS('Реестр рисков'!$G$13-0.5)&lt;0.001,ABS('Реестр рисков'!$H$13-0.1)&lt;0.001),'Реестр рисков'!$B$13&amp;" ","")&amp;IF(AND(ABS('Реестр рисков'!$G$14-0.5)&lt;0.001,ABS('Реестр рисков'!$H$14-0.1)&lt;0.001),'Реестр рисков'!$B$14&amp;" ","")&amp;IF(AND(ABS('Реестр рисков'!$G$15-0.5)&lt;0.001,ABS('Реестр рисков'!$H$15-0.1)&lt;0.001),'Реестр рисков'!$B$15&amp;" ","")&amp;IF(AND(ABS('Реестр рисков'!$G$16-0.5)&lt;0.001,ABS('Реестр рисков'!$H$16-0.1)&lt;0.001),'Реестр рисков'!$B$16&amp;" ","")&amp;IF(AND(ABS('Реестр рисков'!$G$17-0.5)&lt;0.001,ABS('Реестр рисков'!$H$17-0.1)&lt;0.001),'Реестр рисков'!$B$17&amp;" ","")&amp;IF(AND(ABS('Реестр рисков'!$G$18-0.5)&lt;0.001,ABS('Реестр рисков'!$H$18-0.1)&lt;0.001),'Реестр рисков'!$B$18&amp;" ","")&amp;IF(AND(ABS('Реестр рисков'!$G$19-0.5)&lt;0.001,ABS('Реестр рисков'!$H$19-0.1)&lt;0.001),'Реестр рисков'!$B$19&amp;" ","")&amp;IF(AND(ABS('Реестр рисков'!$G$20-0.5)&lt;0.001,ABS('Реестр рисков'!$H$20-0.1)&lt;0.001),'Реестр рисков'!$B$20&amp;" ","")&amp;IF(AND(ABS('Реестр рисков'!$G$21-0.5)&lt;0.001,ABS('Реестр рисков'!$H$21-0.1)&lt;0.001),'Реестр рисков'!$B$21&amp;" ","")&amp;IF(AND(ABS('Реестр рисков'!$G$22-0.5)&lt;0.001,ABS('Реестр рисков'!$H$22-0.1)&lt;0.001),'Реестр рисков'!$B$22&amp;" ","")&amp;IF(AND(ABS('Реестр рисков'!$G$23-0.5)&lt;0.001,ABS('Реестр рисков'!$H$23-0.1)&lt;0.001),'Реестр рисков'!$B$23&amp;" ",""))</f>
        <v/>
      </c>
      <c r="H14" s="26" t="str">
        <f aca="false">TRIM(IF(AND(ABS('Реестр рисков'!$G$5-0.6)&lt;0.001,ABS('Реестр рисков'!$H$5-0.1)&lt;0.001),'Реестр рисков'!$B$5&amp;" ","")&amp;IF(AND(ABS('Реестр рисков'!$G$6-0.6)&lt;0.001,ABS('Реестр рисков'!$H$6-0.1)&lt;0.001),'Реестр рисков'!$B$6&amp;" ","")&amp;IF(AND(ABS('Реестр рисков'!$G$7-0.6)&lt;0.001,ABS('Реестр рисков'!$H$7-0.1)&lt;0.001),'Реестр рисков'!$B$7&amp;" ","")&amp;IF(AND(ABS('Реестр рисков'!$G$8-0.6)&lt;0.001,ABS('Реестр рисков'!$H$8-0.1)&lt;0.001),'Реестр рисков'!$B$8&amp;" ","")&amp;IF(AND(ABS('Реестр рисков'!$G$9-0.6)&lt;0.001,ABS('Реестр рисков'!$H$9-0.1)&lt;0.001),'Реестр рисков'!$B$9&amp;" ","")&amp;IF(AND(ABS('Реестр рисков'!$G$10-0.6)&lt;0.001,ABS('Реестр рисков'!$H$10-0.1)&lt;0.001),'Реестр рисков'!$B$10&amp;" ","")&amp;IF(AND(ABS('Реестр рисков'!$G$11-0.6)&lt;0.001,ABS('Реестр рисков'!$H$11-0.1)&lt;0.001),'Реестр рисков'!$B$11&amp;" ","")&amp;IF(AND(ABS('Реестр рисков'!$G$12-0.6)&lt;0.001,ABS('Реестр рисков'!$H$12-0.1)&lt;0.001),'Реестр рисков'!$B$12&amp;" ","")&amp;IF(AND(ABS('Реестр рисков'!$G$13-0.6)&lt;0.001,ABS('Реестр рисков'!$H$13-0.1)&lt;0.001),'Реестр рисков'!$B$13&amp;" ","")&amp;IF(AND(ABS('Реестр рисков'!$G$14-0.6)&lt;0.001,ABS('Реестр рисков'!$H$14-0.1)&lt;0.001),'Реестр рисков'!$B$14&amp;" ","")&amp;IF(AND(ABS('Реестр рисков'!$G$15-0.6)&lt;0.001,ABS('Реестр рисков'!$H$15-0.1)&lt;0.001),'Реестр рисков'!$B$15&amp;" ","")&amp;IF(AND(ABS('Реестр рисков'!$G$16-0.6)&lt;0.001,ABS('Реестр рисков'!$H$16-0.1)&lt;0.001),'Реестр рисков'!$B$16&amp;" ","")&amp;IF(AND(ABS('Реестр рисков'!$G$17-0.6)&lt;0.001,ABS('Реестр рисков'!$H$17-0.1)&lt;0.001),'Реестр рисков'!$B$17&amp;" ","")&amp;IF(AND(ABS('Реестр рисков'!$G$18-0.6)&lt;0.001,ABS('Реестр рисков'!$H$18-0.1)&lt;0.001),'Реестр рисков'!$B$18&amp;" ","")&amp;IF(AND(ABS('Реестр рисков'!$G$19-0.6)&lt;0.001,ABS('Реестр рисков'!$H$19-0.1)&lt;0.001),'Реестр рисков'!$B$19&amp;" ","")&amp;IF(AND(ABS('Реестр рисков'!$G$20-0.6)&lt;0.001,ABS('Реестр рисков'!$H$20-0.1)&lt;0.001),'Реестр рисков'!$B$20&amp;" ","")&amp;IF(AND(ABS('Реестр рисков'!$G$21-0.6)&lt;0.001,ABS('Реестр рисков'!$H$21-0.1)&lt;0.001),'Реестр рисков'!$B$21&amp;" ","")&amp;IF(AND(ABS('Реестр рисков'!$G$22-0.6)&lt;0.001,ABS('Реестр рисков'!$H$22-0.1)&lt;0.001),'Реестр рисков'!$B$22&amp;" ","")&amp;IF(AND(ABS('Реестр рисков'!$G$23-0.6)&lt;0.001,ABS('Реестр рисков'!$H$23-0.1)&lt;0.001),'Реестр рисков'!$B$23&amp;" ",""))</f>
        <v/>
      </c>
      <c r="I14" s="26" t="str">
        <f aca="false">TRIM(IF(AND(ABS('Реестр рисков'!$G$5-0.7)&lt;0.001,ABS('Реестр рисков'!$H$5-0.1)&lt;0.001),'Реестр рисков'!$B$5&amp;" ","")&amp;IF(AND(ABS('Реестр рисков'!$G$6-0.7)&lt;0.001,ABS('Реестр рисков'!$H$6-0.1)&lt;0.001),'Реестр рисков'!$B$6&amp;" ","")&amp;IF(AND(ABS('Реестр рисков'!$G$7-0.7)&lt;0.001,ABS('Реестр рисков'!$H$7-0.1)&lt;0.001),'Реестр рисков'!$B$7&amp;" ","")&amp;IF(AND(ABS('Реестр рисков'!$G$8-0.7)&lt;0.001,ABS('Реестр рисков'!$H$8-0.1)&lt;0.001),'Реестр рисков'!$B$8&amp;" ","")&amp;IF(AND(ABS('Реестр рисков'!$G$9-0.7)&lt;0.001,ABS('Реестр рисков'!$H$9-0.1)&lt;0.001),'Реестр рисков'!$B$9&amp;" ","")&amp;IF(AND(ABS('Реестр рисков'!$G$10-0.7)&lt;0.001,ABS('Реестр рисков'!$H$10-0.1)&lt;0.001),'Реестр рисков'!$B$10&amp;" ","")&amp;IF(AND(ABS('Реестр рисков'!$G$11-0.7)&lt;0.001,ABS('Реестр рисков'!$H$11-0.1)&lt;0.001),'Реестр рисков'!$B$11&amp;" ","")&amp;IF(AND(ABS('Реестр рисков'!$G$12-0.7)&lt;0.001,ABS('Реестр рисков'!$H$12-0.1)&lt;0.001),'Реестр рисков'!$B$12&amp;" ","")&amp;IF(AND(ABS('Реестр рисков'!$G$13-0.7)&lt;0.001,ABS('Реестр рисков'!$H$13-0.1)&lt;0.001),'Реестр рисков'!$B$13&amp;" ","")&amp;IF(AND(ABS('Реестр рисков'!$G$14-0.7)&lt;0.001,ABS('Реестр рисков'!$H$14-0.1)&lt;0.001),'Реестр рисков'!$B$14&amp;" ","")&amp;IF(AND(ABS('Реестр рисков'!$G$15-0.7)&lt;0.001,ABS('Реестр рисков'!$H$15-0.1)&lt;0.001),'Реестр рисков'!$B$15&amp;" ","")&amp;IF(AND(ABS('Реестр рисков'!$G$16-0.7)&lt;0.001,ABS('Реестр рисков'!$H$16-0.1)&lt;0.001),'Реестр рисков'!$B$16&amp;" ","")&amp;IF(AND(ABS('Реестр рисков'!$G$17-0.7)&lt;0.001,ABS('Реестр рисков'!$H$17-0.1)&lt;0.001),'Реестр рисков'!$B$17&amp;" ","")&amp;IF(AND(ABS('Реестр рисков'!$G$18-0.7)&lt;0.001,ABS('Реестр рисков'!$H$18-0.1)&lt;0.001),'Реестр рисков'!$B$18&amp;" ","")&amp;IF(AND(ABS('Реестр рисков'!$G$19-0.7)&lt;0.001,ABS('Реестр рисков'!$H$19-0.1)&lt;0.001),'Реестр рисков'!$B$19&amp;" ","")&amp;IF(AND(ABS('Реестр рисков'!$G$20-0.7)&lt;0.001,ABS('Реестр рисков'!$H$20-0.1)&lt;0.001),'Реестр рисков'!$B$20&amp;" ","")&amp;IF(AND(ABS('Реестр рисков'!$G$21-0.7)&lt;0.001,ABS('Реестр рисков'!$H$21-0.1)&lt;0.001),'Реестр рисков'!$B$21&amp;" ","")&amp;IF(AND(ABS('Реестр рисков'!$G$22-0.7)&lt;0.001,ABS('Реестр рисков'!$H$22-0.1)&lt;0.001),'Реестр рисков'!$B$22&amp;" ","")&amp;IF(AND(ABS('Реестр рисков'!$G$23-0.7)&lt;0.001,ABS('Реестр рисков'!$H$23-0.1)&lt;0.001),'Реестр рисков'!$B$23&amp;" ",""))</f>
        <v/>
      </c>
      <c r="J14" s="26" t="str">
        <f aca="false">TRIM(IF(AND(ABS('Реестр рисков'!$G$5-0.8)&lt;0.001,ABS('Реестр рисков'!$H$5-0.1)&lt;0.001),'Реестр рисков'!$B$5&amp;" ","")&amp;IF(AND(ABS('Реестр рисков'!$G$6-0.8)&lt;0.001,ABS('Реестр рисков'!$H$6-0.1)&lt;0.001),'Реестр рисков'!$B$6&amp;" ","")&amp;IF(AND(ABS('Реестр рисков'!$G$7-0.8)&lt;0.001,ABS('Реестр рисков'!$H$7-0.1)&lt;0.001),'Реестр рисков'!$B$7&amp;" ","")&amp;IF(AND(ABS('Реестр рисков'!$G$8-0.8)&lt;0.001,ABS('Реестр рисков'!$H$8-0.1)&lt;0.001),'Реестр рисков'!$B$8&amp;" ","")&amp;IF(AND(ABS('Реестр рисков'!$G$9-0.8)&lt;0.001,ABS('Реестр рисков'!$H$9-0.1)&lt;0.001),'Реестр рисков'!$B$9&amp;" ","")&amp;IF(AND(ABS('Реестр рисков'!$G$10-0.8)&lt;0.001,ABS('Реестр рисков'!$H$10-0.1)&lt;0.001),'Реестр рисков'!$B$10&amp;" ","")&amp;IF(AND(ABS('Реестр рисков'!$G$11-0.8)&lt;0.001,ABS('Реестр рисков'!$H$11-0.1)&lt;0.001),'Реестр рисков'!$B$11&amp;" ","")&amp;IF(AND(ABS('Реестр рисков'!$G$12-0.8)&lt;0.001,ABS('Реестр рисков'!$H$12-0.1)&lt;0.001),'Реестр рисков'!$B$12&amp;" ","")&amp;IF(AND(ABS('Реестр рисков'!$G$13-0.8)&lt;0.001,ABS('Реестр рисков'!$H$13-0.1)&lt;0.001),'Реестр рисков'!$B$13&amp;" ","")&amp;IF(AND(ABS('Реестр рисков'!$G$14-0.8)&lt;0.001,ABS('Реестр рисков'!$H$14-0.1)&lt;0.001),'Реестр рисков'!$B$14&amp;" ","")&amp;IF(AND(ABS('Реестр рисков'!$G$15-0.8)&lt;0.001,ABS('Реестр рисков'!$H$15-0.1)&lt;0.001),'Реестр рисков'!$B$15&amp;" ","")&amp;IF(AND(ABS('Реестр рисков'!$G$16-0.8)&lt;0.001,ABS('Реестр рисков'!$H$16-0.1)&lt;0.001),'Реестр рисков'!$B$16&amp;" ","")&amp;IF(AND(ABS('Реестр рисков'!$G$17-0.8)&lt;0.001,ABS('Реестр рисков'!$H$17-0.1)&lt;0.001),'Реестр рисков'!$B$17&amp;" ","")&amp;IF(AND(ABS('Реестр рисков'!$G$18-0.8)&lt;0.001,ABS('Реестр рисков'!$H$18-0.1)&lt;0.001),'Реестр рисков'!$B$18&amp;" ","")&amp;IF(AND(ABS('Реестр рисков'!$G$19-0.8)&lt;0.001,ABS('Реестр рисков'!$H$19-0.1)&lt;0.001),'Реестр рисков'!$B$19&amp;" ","")&amp;IF(AND(ABS('Реестр рисков'!$G$20-0.8)&lt;0.001,ABS('Реестр рисков'!$H$20-0.1)&lt;0.001),'Реестр рисков'!$B$20&amp;" ","")&amp;IF(AND(ABS('Реестр рисков'!$G$21-0.8)&lt;0.001,ABS('Реестр рисков'!$H$21-0.1)&lt;0.001),'Реестр рисков'!$B$21&amp;" ","")&amp;IF(AND(ABS('Реестр рисков'!$G$22-0.8)&lt;0.001,ABS('Реестр рисков'!$H$22-0.1)&lt;0.001),'Реестр рисков'!$B$22&amp;" ","")&amp;IF(AND(ABS('Реестр рисков'!$G$23-0.8)&lt;0.001,ABS('Реестр рисков'!$H$23-0.1)&lt;0.001),'Реестр рисков'!$B$23&amp;" ",""))</f>
        <v/>
      </c>
      <c r="K14" s="26" t="str">
        <f aca="false">TRIM(IF(AND(ABS('Реестр рисков'!$G$5-0.9)&lt;0.001,ABS('Реестр рисков'!$H$5-0.1)&lt;0.001),'Реестр рисков'!$B$5&amp;" ","")&amp;IF(AND(ABS('Реестр рисков'!$G$6-0.9)&lt;0.001,ABS('Реестр рисков'!$H$6-0.1)&lt;0.001),'Реестр рисков'!$B$6&amp;" ","")&amp;IF(AND(ABS('Реестр рисков'!$G$7-0.9)&lt;0.001,ABS('Реестр рисков'!$H$7-0.1)&lt;0.001),'Реестр рисков'!$B$7&amp;" ","")&amp;IF(AND(ABS('Реестр рисков'!$G$8-0.9)&lt;0.001,ABS('Реестр рисков'!$H$8-0.1)&lt;0.001),'Реестр рисков'!$B$8&amp;" ","")&amp;IF(AND(ABS('Реестр рисков'!$G$9-0.9)&lt;0.001,ABS('Реестр рисков'!$H$9-0.1)&lt;0.001),'Реестр рисков'!$B$9&amp;" ","")&amp;IF(AND(ABS('Реестр рисков'!$G$10-0.9)&lt;0.001,ABS('Реестр рисков'!$H$10-0.1)&lt;0.001),'Реестр рисков'!$B$10&amp;" ","")&amp;IF(AND(ABS('Реестр рисков'!$G$11-0.9)&lt;0.001,ABS('Реестр рисков'!$H$11-0.1)&lt;0.001),'Реестр рисков'!$B$11&amp;" ","")&amp;IF(AND(ABS('Реестр рисков'!$G$12-0.9)&lt;0.001,ABS('Реестр рисков'!$H$12-0.1)&lt;0.001),'Реестр рисков'!$B$12&amp;" ","")&amp;IF(AND(ABS('Реестр рисков'!$G$13-0.9)&lt;0.001,ABS('Реестр рисков'!$H$13-0.1)&lt;0.001),'Реестр рисков'!$B$13&amp;" ","")&amp;IF(AND(ABS('Реестр рисков'!$G$14-0.9)&lt;0.001,ABS('Реестр рисков'!$H$14-0.1)&lt;0.001),'Реестр рисков'!$B$14&amp;" ","")&amp;IF(AND(ABS('Реестр рисков'!$G$15-0.9)&lt;0.001,ABS('Реестр рисков'!$H$15-0.1)&lt;0.001),'Реестр рисков'!$B$15&amp;" ","")&amp;IF(AND(ABS('Реестр рисков'!$G$16-0.9)&lt;0.001,ABS('Реестр рисков'!$H$16-0.1)&lt;0.001),'Реестр рисков'!$B$16&amp;" ","")&amp;IF(AND(ABS('Реестр рисков'!$G$17-0.9)&lt;0.001,ABS('Реестр рисков'!$H$17-0.1)&lt;0.001),'Реестр рисков'!$B$17&amp;" ","")&amp;IF(AND(ABS('Реестр рисков'!$G$18-0.9)&lt;0.001,ABS('Реестр рисков'!$H$18-0.1)&lt;0.001),'Реестр рисков'!$B$18&amp;" ","")&amp;IF(AND(ABS('Реестр рисков'!$G$19-0.9)&lt;0.001,ABS('Реестр рисков'!$H$19-0.1)&lt;0.001),'Реестр рисков'!$B$19&amp;" ","")&amp;IF(AND(ABS('Реестр рисков'!$G$20-0.9)&lt;0.001,ABS('Реестр рисков'!$H$20-0.1)&lt;0.001),'Реестр рисков'!$B$20&amp;" ","")&amp;IF(AND(ABS('Реестр рисков'!$G$21-0.9)&lt;0.001,ABS('Реестр рисков'!$H$21-0.1)&lt;0.001),'Реестр рисков'!$B$21&amp;" ","")&amp;IF(AND(ABS('Реестр рисков'!$G$22-0.9)&lt;0.001,ABS('Реестр рисков'!$H$22-0.1)&lt;0.001),'Реестр рисков'!$B$22&amp;" ","")&amp;IF(AND(ABS('Реестр рисков'!$G$23-0.9)&lt;0.001,ABS('Реестр рисков'!$H$23-0.1)&lt;0.001),'Реестр рисков'!$B$23&amp;" ",""))</f>
        <v/>
      </c>
      <c r="L14" s="26" t="str">
        <f aca="false">TRIM(IF(AND(ABS('Реестр рисков'!$G$5-1)&lt;0.001,ABS('Реестр рисков'!$H$5-0.1)&lt;0.001),'Реестр рисков'!$B$5&amp;" ","")&amp;IF(AND(ABS('Реестр рисков'!$G$6-1)&lt;0.001,ABS('Реестр рисков'!$H$6-0.1)&lt;0.001),'Реестр рисков'!$B$6&amp;" ","")&amp;IF(AND(ABS('Реестр рисков'!$G$7-1)&lt;0.001,ABS('Реестр рисков'!$H$7-0.1)&lt;0.001),'Реестр рисков'!$B$7&amp;" ","")&amp;IF(AND(ABS('Реестр рисков'!$G$8-1)&lt;0.001,ABS('Реестр рисков'!$H$8-0.1)&lt;0.001),'Реестр рисков'!$B$8&amp;" ","")&amp;IF(AND(ABS('Реестр рисков'!$G$9-1)&lt;0.001,ABS('Реестр рисков'!$H$9-0.1)&lt;0.001),'Реестр рисков'!$B$9&amp;" ","")&amp;IF(AND(ABS('Реестр рисков'!$G$10-1)&lt;0.001,ABS('Реестр рисков'!$H$10-0.1)&lt;0.001),'Реестр рисков'!$B$10&amp;" ","")&amp;IF(AND(ABS('Реестр рисков'!$G$11-1)&lt;0.001,ABS('Реестр рисков'!$H$11-0.1)&lt;0.001),'Реестр рисков'!$B$11&amp;" ","")&amp;IF(AND(ABS('Реестр рисков'!$G$12-1)&lt;0.001,ABS('Реестр рисков'!$H$12-0.1)&lt;0.001),'Реестр рисков'!$B$12&amp;" ","")&amp;IF(AND(ABS('Реестр рисков'!$G$13-1)&lt;0.001,ABS('Реестр рисков'!$H$13-0.1)&lt;0.001),'Реестр рисков'!$B$13&amp;" ","")&amp;IF(AND(ABS('Реестр рисков'!$G$14-1)&lt;0.001,ABS('Реестр рисков'!$H$14-0.1)&lt;0.001),'Реестр рисков'!$B$14&amp;" ","")&amp;IF(AND(ABS('Реестр рисков'!$G$15-1)&lt;0.001,ABS('Реестр рисков'!$H$15-0.1)&lt;0.001),'Реестр рисков'!$B$15&amp;" ","")&amp;IF(AND(ABS('Реестр рисков'!$G$16-1)&lt;0.001,ABS('Реестр рисков'!$H$16-0.1)&lt;0.001),'Реестр рисков'!$B$16&amp;" ","")&amp;IF(AND(ABS('Реестр рисков'!$G$17-1)&lt;0.001,ABS('Реестр рисков'!$H$17-0.1)&lt;0.001),'Реестр рисков'!$B$17&amp;" ","")&amp;IF(AND(ABS('Реестр рисков'!$G$18-1)&lt;0.001,ABS('Реестр рисков'!$H$18-0.1)&lt;0.001),'Реестр рисков'!$B$18&amp;" ","")&amp;IF(AND(ABS('Реестр рисков'!$G$19-1)&lt;0.001,ABS('Реестр рисков'!$H$19-0.1)&lt;0.001),'Реестр рисков'!$B$19&amp;" ","")&amp;IF(AND(ABS('Реестр рисков'!$G$20-1)&lt;0.001,ABS('Реестр рисков'!$H$20-0.1)&lt;0.001),'Реестр рисков'!$B$20&amp;" ","")&amp;IF(AND(ABS('Реестр рисков'!$G$21-1)&lt;0.001,ABS('Реестр рисков'!$H$21-0.1)&lt;0.001),'Реестр рисков'!$B$21&amp;" ","")&amp;IF(AND(ABS('Реестр рисков'!$G$22-1)&lt;0.001,ABS('Реестр рисков'!$H$22-0.1)&lt;0.001),'Реестр рисков'!$B$22&amp;" ","")&amp;IF(AND(ABS('Реестр рисков'!$G$23-1)&lt;0.001,ABS('Реестр рисков'!$H$23-0.1)&lt;0.001),'Реестр рисков'!$B$23&amp;" ",""))</f>
        <v/>
      </c>
    </row>
    <row r="15" customFormat="false" ht="15" hidden="false" customHeight="false" outlineLevel="0" collapsed="false">
      <c r="C15" s="25" t="n">
        <v>0.1</v>
      </c>
      <c r="D15" s="25" t="n">
        <v>0.2</v>
      </c>
      <c r="E15" s="25" t="n">
        <v>0.3</v>
      </c>
      <c r="F15" s="25" t="n">
        <v>0.4</v>
      </c>
      <c r="G15" s="25" t="n">
        <v>0.5</v>
      </c>
      <c r="H15" s="25" t="n">
        <v>0.6</v>
      </c>
      <c r="I15" s="25" t="n">
        <v>0.7</v>
      </c>
      <c r="J15" s="25" t="n">
        <v>0.8</v>
      </c>
      <c r="K15" s="25" t="n">
        <v>0.9</v>
      </c>
      <c r="L15" s="25" t="n">
        <v>1</v>
      </c>
    </row>
    <row r="16" customFormat="false" ht="15" hidden="false" customHeight="true" outlineLevel="0" collapsed="false">
      <c r="C16" s="29" t="s">
        <v>244</v>
      </c>
      <c r="D16" s="29"/>
      <c r="E16" s="29"/>
      <c r="F16" s="29"/>
      <c r="G16" s="29"/>
      <c r="H16" s="29"/>
      <c r="I16" s="29"/>
      <c r="J16" s="29"/>
      <c r="K16" s="29"/>
      <c r="L16" s="29"/>
    </row>
    <row r="18" customFormat="false" ht="15" hidden="false" customHeight="false" outlineLevel="0" collapsed="false">
      <c r="B18" s="30"/>
      <c r="C18" s="31" t="s">
        <v>245</v>
      </c>
    </row>
    <row r="19" customFormat="false" ht="15" hidden="false" customHeight="false" outlineLevel="0" collapsed="false">
      <c r="B19" s="32"/>
      <c r="C19" s="31" t="s">
        <v>246</v>
      </c>
    </row>
    <row r="20" customFormat="false" ht="15" hidden="false" customHeight="false" outlineLevel="0" collapsed="false">
      <c r="B20" s="33"/>
      <c r="C20" s="31" t="s">
        <v>247</v>
      </c>
    </row>
    <row r="22" customFormat="false" ht="15" hidden="false" customHeight="false" outlineLevel="0" collapsed="false">
      <c r="B22" s="34" t="s">
        <v>248</v>
      </c>
      <c r="C22" s="34"/>
      <c r="D22" s="34"/>
      <c r="E22" s="34"/>
      <c r="F22" s="34"/>
      <c r="G22" s="34"/>
      <c r="H22" s="34"/>
      <c r="I22" s="34"/>
      <c r="J22" s="34"/>
    </row>
    <row r="23" customFormat="false" ht="23.85" hidden="false" customHeight="true" outlineLevel="0" collapsed="false">
      <c r="B23" s="3" t="s">
        <v>249</v>
      </c>
      <c r="C23" s="3" t="s">
        <v>250</v>
      </c>
      <c r="D23" s="3"/>
      <c r="E23" s="3"/>
      <c r="F23" s="3"/>
      <c r="G23" s="3"/>
      <c r="H23" s="3"/>
      <c r="I23" s="3" t="s">
        <v>251</v>
      </c>
      <c r="J23" s="3" t="s">
        <v>11</v>
      </c>
    </row>
    <row r="24" customFormat="false" ht="31.5" hidden="false" customHeight="true" outlineLevel="0" collapsed="false">
      <c r="B24" s="4" t="n">
        <v>1</v>
      </c>
      <c r="C24" s="6" t="str">
        <f aca="false">INDEX('Реестр рисков'!$B$5:$B$23,MATCH(B24,'Реестр рисков'!$W$5:$W$23,0))&amp;" — "&amp;INDEX('Реестр рисков'!$C$5:$C$23,MATCH(B24,'Реестр рисков'!$W$5:$W$23,0))</f>
        <v>R3 — Пользователи не захотят менять привычную работу в Excel и пробовать новый сервис</v>
      </c>
      <c r="D24" s="6"/>
      <c r="E24" s="6"/>
      <c r="F24" s="6"/>
      <c r="G24" s="6"/>
      <c r="H24" s="6"/>
      <c r="I24" s="8" t="n">
        <f aca="false">INDEX('Реестр рисков'!$I$5:$I$23,MATCH(B24,'Реестр рисков'!$W$5:$W$23,0))</f>
        <v>0.63</v>
      </c>
      <c r="J24" s="4" t="str">
        <f aca="false">IF(I24&gt;'Шкалы оценки'!$B$21,"Высокий",IF(I24&gt;='Шкалы оценки'!$B$22,"Средний","Низкий"))</f>
        <v>Высокий</v>
      </c>
    </row>
    <row r="25" customFormat="false" ht="31.5" hidden="false" customHeight="true" outlineLevel="0" collapsed="false">
      <c r="B25" s="4" t="n">
        <v>2</v>
      </c>
      <c r="C25" s="6" t="str">
        <f aca="false">INDEX('Реестр рисков'!$B$5:$B$23,MATCH(B25,'Реестр рисков'!$W$5:$W$23,0))&amp;" — "&amp;INDEX('Реестр рисков'!$C$5:$C$23,MATCH(B25,'Реестр рисков'!$W$5:$W$23,0))</f>
        <v>R1 — Крупные платформы (Microsoft Copilot, ChatGPT / Claude for Excel) выпустят бесплатный «режим проверки»</v>
      </c>
      <c r="D25" s="6"/>
      <c r="E25" s="6"/>
      <c r="F25" s="6"/>
      <c r="G25" s="6"/>
      <c r="H25" s="6"/>
      <c r="I25" s="8" t="n">
        <f aca="false">INDEX('Реестр рисков'!$I$5:$I$23,MATCH(B25,'Реестр рисков'!$W$5:$W$23,0))</f>
        <v>0.56</v>
      </c>
      <c r="J25" s="4" t="str">
        <f aca="false">IF(I25&gt;'Шкалы оценки'!$B$21,"Высокий",IF(I25&gt;='Шкалы оценки'!$B$22,"Средний","Низкий"))</f>
        <v>Высокий</v>
      </c>
    </row>
    <row r="26" customFormat="false" ht="31.5" hidden="false" customHeight="true" outlineLevel="0" collapsed="false">
      <c r="B26" s="4" t="n">
        <v>3</v>
      </c>
      <c r="C26" s="6" t="str">
        <f aca="false">INDEX('Реестр рисков'!$B$5:$B$23,MATCH(B26,'Реестр рисков'!$W$5:$W$23,0))&amp;" — "&amp;INDEX('Реестр рисков'!$C$5:$C$23,MATCH(B26,'Реестр рисков'!$W$5:$W$23,0))</f>
        <v>R4 — Срыв сроков критического пути из-за недооценки трудоёмкости (ядро, надстройка)</v>
      </c>
      <c r="D26" s="6"/>
      <c r="E26" s="6"/>
      <c r="F26" s="6"/>
      <c r="G26" s="6"/>
      <c r="H26" s="6"/>
      <c r="I26" s="8" t="n">
        <f aca="false">INDEX('Реестр рисков'!$I$5:$I$23,MATCH(B26,'Реестр рисков'!$W$5:$W$23,0))</f>
        <v>0.56</v>
      </c>
      <c r="J26" s="4" t="str">
        <f aca="false">IF(I26&gt;'Шкалы оценки'!$B$21,"Высокий",IF(I26&gt;='Шкалы оценки'!$B$22,"Средний","Низкий"))</f>
        <v>Высокий</v>
      </c>
    </row>
    <row r="27" customFormat="false" ht="31.5" hidden="false" customHeight="true" outlineLevel="0" collapsed="false">
      <c r="B27" s="4" t="n">
        <v>4</v>
      </c>
      <c r="C27" s="6" t="str">
        <f aca="false">INDEX('Реестр рисков'!$B$5:$B$23,MATCH(B27,'Реестр рисков'!$W$5:$W$23,0))&amp;" — "&amp;INDEX('Реестр рисков'!$C$5:$C$23,MATCH(B27,'Реестр рисков'!$W$5:$W$23,0))</f>
        <v>R2 — Высокая доля ложных срабатываний правил (precision критичных находок &lt; 90%)</v>
      </c>
      <c r="D27" s="6"/>
      <c r="E27" s="6"/>
      <c r="F27" s="6"/>
      <c r="G27" s="6"/>
      <c r="H27" s="6"/>
      <c r="I27" s="8" t="n">
        <f aca="false">INDEX('Реестр рисков'!$I$5:$I$23,MATCH(B27,'Реестр рисков'!$W$5:$W$23,0))</f>
        <v>0.54</v>
      </c>
      <c r="J27" s="4" t="str">
        <f aca="false">IF(I27&gt;'Шкалы оценки'!$B$21,"Высокий",IF(I27&gt;='Шкалы оценки'!$B$22,"Средний","Низкий"))</f>
        <v>Высокий</v>
      </c>
    </row>
    <row r="28" customFormat="false" ht="31.5" hidden="false" customHeight="true" outlineLevel="0" collapsed="false">
      <c r="B28" s="4" t="n">
        <v>5</v>
      </c>
      <c r="C28" s="6" t="str">
        <f aca="false">INDEX('Реестр рисков'!$B$5:$B$23,MATCH(B28,'Реестр рисков'!$W$5:$W$23,0))&amp;" — "&amp;INDEX('Реестр рисков'!$C$5:$C$23,MATCH(B28,'Реестр рисков'!$W$5:$W$23,0))</f>
        <v>R5 — Пользователи не готовы загружать конфиденциальные финмодели в облако</v>
      </c>
      <c r="D28" s="6"/>
      <c r="E28" s="6"/>
      <c r="F28" s="6"/>
      <c r="G28" s="6"/>
      <c r="H28" s="6"/>
      <c r="I28" s="8" t="n">
        <f aca="false">INDEX('Реестр рисков'!$I$5:$I$23,MATCH(B28,'Реестр рисков'!$W$5:$W$23,0))</f>
        <v>0.4</v>
      </c>
      <c r="J28" s="4" t="str">
        <f aca="false">IF(I28&gt;'Шкалы оценки'!$B$21,"Высокий",IF(I28&gt;='Шкалы оценки'!$B$22,"Средний","Низкий"))</f>
        <v>Средний</v>
      </c>
    </row>
  </sheetData>
  <mergeCells count="9">
    <mergeCell ref="A5:A14"/>
    <mergeCell ref="C16:L16"/>
    <mergeCell ref="B22:J22"/>
    <mergeCell ref="C23:H23"/>
    <mergeCell ref="C24:H24"/>
    <mergeCell ref="C25:H25"/>
    <mergeCell ref="C26:H26"/>
    <mergeCell ref="C27:H27"/>
    <mergeCell ref="C28:H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2026-09-30T16:31:22Z</dcterms:created>
  <dc:creator>openpyxl</dc:creator>
  <dc:description/>
  <dc:language>en-US</dc:language>
  <cp:lastModifiedBy/>
  <dcterms:modified xsi:type="dcterms:W3CDTF">2026-09-30T19:31:27Z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
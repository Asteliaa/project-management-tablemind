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excel-mcp-files\project-management-tablemind\appendix\"/>
    </mc:Choice>
  </mc:AlternateContent>
  <xr:revisionPtr revIDLastSave="0" documentId="13_ncr:1_{241B0508-B492-4A07-8465-BA5ED3587E4A}" xr6:coauthVersionLast="47" xr6:coauthVersionMax="47" xr10:uidLastSave="{00000000-0000-0000-0000-000000000000}"/>
  <bookViews>
    <workbookView xWindow="3008" yWindow="458" windowWidth="12022" windowHeight="10972" tabRatio="500" xr2:uid="{00000000-000D-0000-FFFF-FFFF00000000}"/>
  </bookViews>
  <sheets>
    <sheet name="Реестр рисков" sheetId="1" r:id="rId1"/>
    <sheet name="Шкалы оценки" sheetId="2" r:id="rId2"/>
    <sheet name="Карта рисков" sheetId="3" r:id="rId3"/>
  </sheets>
  <definedNames>
    <definedName name="_FilterDatabase" localSheetId="0" hidden="1">'Реестр рисков'!$A$4:$W$23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4" i="3" l="1"/>
  <c r="K14" i="3"/>
  <c r="J14" i="3"/>
  <c r="I14" i="3"/>
  <c r="H14" i="3"/>
  <c r="G14" i="3"/>
  <c r="F14" i="3"/>
  <c r="E14" i="3"/>
  <c r="D14" i="3"/>
  <c r="C14" i="3"/>
  <c r="L13" i="3"/>
  <c r="K13" i="3"/>
  <c r="J13" i="3"/>
  <c r="I13" i="3"/>
  <c r="H13" i="3"/>
  <c r="G13" i="3"/>
  <c r="F13" i="3"/>
  <c r="E13" i="3"/>
  <c r="D13" i="3"/>
  <c r="C13" i="3"/>
  <c r="L12" i="3"/>
  <c r="K12" i="3"/>
  <c r="J12" i="3"/>
  <c r="I12" i="3"/>
  <c r="H12" i="3"/>
  <c r="G12" i="3"/>
  <c r="E12" i="3"/>
  <c r="D12" i="3"/>
  <c r="C12" i="3"/>
  <c r="L11" i="3"/>
  <c r="K11" i="3"/>
  <c r="J11" i="3"/>
  <c r="I11" i="3"/>
  <c r="G11" i="3"/>
  <c r="F11" i="3"/>
  <c r="E11" i="3"/>
  <c r="D11" i="3"/>
  <c r="C11" i="3"/>
  <c r="L10" i="3"/>
  <c r="K10" i="3"/>
  <c r="J10" i="3"/>
  <c r="I10" i="3"/>
  <c r="H10" i="3"/>
  <c r="E10" i="3"/>
  <c r="D10" i="3"/>
  <c r="C10" i="3"/>
  <c r="L9" i="3"/>
  <c r="K9" i="3"/>
  <c r="J9" i="3"/>
  <c r="I9" i="3"/>
  <c r="E9" i="3"/>
  <c r="C9" i="3"/>
  <c r="L8" i="3"/>
  <c r="K8" i="3"/>
  <c r="I8" i="3"/>
  <c r="H8" i="3"/>
  <c r="E8" i="3"/>
  <c r="D8" i="3"/>
  <c r="C8" i="3"/>
  <c r="L7" i="3"/>
  <c r="K7" i="3"/>
  <c r="J7" i="3"/>
  <c r="H7" i="3"/>
  <c r="D7" i="3"/>
  <c r="C7" i="3"/>
  <c r="L6" i="3"/>
  <c r="K6" i="3"/>
  <c r="J6" i="3"/>
  <c r="G6" i="3"/>
  <c r="F6" i="3"/>
  <c r="D6" i="3"/>
  <c r="C6" i="3"/>
  <c r="L5" i="3"/>
  <c r="K5" i="3"/>
  <c r="J5" i="3"/>
  <c r="I5" i="3"/>
  <c r="H5" i="3"/>
  <c r="G5" i="3"/>
  <c r="F5" i="3"/>
  <c r="E5" i="3"/>
  <c r="D5" i="3"/>
  <c r="C5" i="3"/>
  <c r="D34" i="1"/>
  <c r="D35" i="1" s="1"/>
  <c r="D32" i="1"/>
  <c r="Q24" i="1"/>
  <c r="V23" i="1"/>
  <c r="U23" i="1"/>
  <c r="R23" i="1"/>
  <c r="P23" i="1"/>
  <c r="I23" i="1"/>
  <c r="J23" i="1" s="1"/>
  <c r="B23" i="1"/>
  <c r="F12" i="3" s="1"/>
  <c r="U22" i="1"/>
  <c r="V22" i="1" s="1"/>
  <c r="P22" i="1"/>
  <c r="R22" i="1" s="1"/>
  <c r="J22" i="1"/>
  <c r="I22" i="1"/>
  <c r="W22" i="1" s="1"/>
  <c r="B22" i="1"/>
  <c r="F10" i="3" s="1"/>
  <c r="V21" i="1"/>
  <c r="U21" i="1"/>
  <c r="P21" i="1"/>
  <c r="R21" i="1" s="1"/>
  <c r="I21" i="1"/>
  <c r="J21" i="1" s="1"/>
  <c r="B21" i="1"/>
  <c r="D9" i="3" s="1"/>
  <c r="U20" i="1"/>
  <c r="V20" i="1" s="1"/>
  <c r="P20" i="1"/>
  <c r="R20" i="1" s="1"/>
  <c r="J20" i="1"/>
  <c r="I20" i="1"/>
  <c r="W20" i="1" s="1"/>
  <c r="B20" i="1"/>
  <c r="V19" i="1"/>
  <c r="U19" i="1"/>
  <c r="P19" i="1"/>
  <c r="R19" i="1" s="1"/>
  <c r="I19" i="1"/>
  <c r="J19" i="1" s="1"/>
  <c r="B19" i="1"/>
  <c r="H11" i="3" s="1"/>
  <c r="U18" i="1"/>
  <c r="V18" i="1" s="1"/>
  <c r="P18" i="1"/>
  <c r="R18" i="1" s="1"/>
  <c r="J18" i="1"/>
  <c r="I18" i="1"/>
  <c r="W18" i="1" s="1"/>
  <c r="B18" i="1"/>
  <c r="G10" i="3" s="1"/>
  <c r="V17" i="1"/>
  <c r="U17" i="1"/>
  <c r="P17" i="1"/>
  <c r="R17" i="1" s="1"/>
  <c r="I17" i="1"/>
  <c r="J17" i="1" s="1"/>
  <c r="B17" i="1"/>
  <c r="E6" i="3" s="1"/>
  <c r="U16" i="1"/>
  <c r="V16" i="1" s="1"/>
  <c r="P16" i="1"/>
  <c r="R16" i="1" s="1"/>
  <c r="J16" i="1"/>
  <c r="I16" i="1"/>
  <c r="W16" i="1" s="1"/>
  <c r="B16" i="1"/>
  <c r="E7" i="3" s="1"/>
  <c r="V15" i="1"/>
  <c r="U15" i="1"/>
  <c r="P15" i="1"/>
  <c r="R15" i="1" s="1"/>
  <c r="I15" i="1"/>
  <c r="J15" i="1" s="1"/>
  <c r="B15" i="1"/>
  <c r="F8" i="3" s="1"/>
  <c r="U14" i="1"/>
  <c r="V14" i="1" s="1"/>
  <c r="R14" i="1"/>
  <c r="P14" i="1"/>
  <c r="J14" i="1"/>
  <c r="I14" i="1"/>
  <c r="W14" i="1" s="1"/>
  <c r="B14" i="1"/>
  <c r="F9" i="3" s="1"/>
  <c r="V13" i="1"/>
  <c r="U13" i="1"/>
  <c r="P13" i="1"/>
  <c r="R13" i="1" s="1"/>
  <c r="I13" i="1"/>
  <c r="J13" i="1" s="1"/>
  <c r="B13" i="1"/>
  <c r="G8" i="3" s="1"/>
  <c r="U12" i="1"/>
  <c r="V12" i="1" s="1"/>
  <c r="P12" i="1"/>
  <c r="R12" i="1" s="1"/>
  <c r="J12" i="1"/>
  <c r="I12" i="1"/>
  <c r="W12" i="1" s="1"/>
  <c r="B12" i="1"/>
  <c r="G9" i="3" s="1"/>
  <c r="V11" i="1"/>
  <c r="U11" i="1"/>
  <c r="P11" i="1"/>
  <c r="R11" i="1" s="1"/>
  <c r="I11" i="1"/>
  <c r="J11" i="1" s="1"/>
  <c r="B11" i="1"/>
  <c r="F7" i="3" s="1"/>
  <c r="U10" i="1"/>
  <c r="V10" i="1" s="1"/>
  <c r="P10" i="1"/>
  <c r="R10" i="1" s="1"/>
  <c r="J10" i="1"/>
  <c r="I10" i="1"/>
  <c r="W10" i="1" s="1"/>
  <c r="B10" i="1"/>
  <c r="H9" i="3" s="1"/>
  <c r="V9" i="1"/>
  <c r="U9" i="1"/>
  <c r="P9" i="1"/>
  <c r="R9" i="1" s="1"/>
  <c r="I9" i="1"/>
  <c r="J9" i="1" s="1"/>
  <c r="B9" i="1"/>
  <c r="G7" i="3" s="1"/>
  <c r="U8" i="1"/>
  <c r="V8" i="1" s="1"/>
  <c r="P8" i="1"/>
  <c r="R8" i="1" s="1"/>
  <c r="J8" i="1"/>
  <c r="I8" i="1"/>
  <c r="W8" i="1" s="1"/>
  <c r="B8" i="1"/>
  <c r="J8" i="3" s="1"/>
  <c r="V7" i="1"/>
  <c r="U7" i="1"/>
  <c r="P7" i="1"/>
  <c r="R7" i="1" s="1"/>
  <c r="I7" i="1"/>
  <c r="J7" i="1" s="1"/>
  <c r="B7" i="1"/>
  <c r="I6" i="3" s="1"/>
  <c r="U6" i="1"/>
  <c r="V6" i="1" s="1"/>
  <c r="P6" i="1"/>
  <c r="R6" i="1" s="1"/>
  <c r="J6" i="1"/>
  <c r="I6" i="1"/>
  <c r="W6" i="1" s="1"/>
  <c r="B6" i="1"/>
  <c r="H6" i="3" s="1"/>
  <c r="V5" i="1"/>
  <c r="U5" i="1"/>
  <c r="D31" i="1" s="1"/>
  <c r="P5" i="1"/>
  <c r="R5" i="1" s="1"/>
  <c r="I5" i="1"/>
  <c r="J5" i="1" s="1"/>
  <c r="B5" i="1"/>
  <c r="I7" i="3" s="1"/>
  <c r="D27" i="1" l="1"/>
  <c r="D28" i="1"/>
  <c r="D26" i="1"/>
  <c r="W5" i="1"/>
  <c r="W7" i="1"/>
  <c r="W9" i="1"/>
  <c r="W11" i="1"/>
  <c r="W13" i="1"/>
  <c r="W15" i="1"/>
  <c r="W17" i="1"/>
  <c r="W19" i="1"/>
  <c r="W21" i="1"/>
  <c r="W23" i="1"/>
  <c r="P24" i="1"/>
  <c r="D29" i="1"/>
  <c r="D30" i="1"/>
  <c r="I28" i="3" l="1"/>
  <c r="J28" i="3" s="1"/>
  <c r="C28" i="3"/>
  <c r="I27" i="3"/>
  <c r="J27" i="3" s="1"/>
  <c r="C27" i="3"/>
  <c r="I26" i="3"/>
  <c r="J26" i="3" s="1"/>
  <c r="C26" i="3"/>
  <c r="I25" i="3"/>
  <c r="J25" i="3" s="1"/>
  <c r="C25" i="3"/>
  <c r="I24" i="3"/>
  <c r="J24" i="3" s="1"/>
  <c r="C24" i="3"/>
</calcChain>
</file>

<file path=xl/sharedStrings.xml><?xml version="1.0" encoding="utf-8"?>
<sst xmlns="http://schemas.openxmlformats.org/spreadsheetml/2006/main" count="298" uniqueCount="252">
  <si>
    <t>Наименование проекта: TableMind — AI-сервис проверки Excel-моделей (веб-аудит + надстройка Excel)</t>
  </si>
  <si>
    <t>Методы идентификации: анализ документации (SDD, бизнес-анализ, WBS), контрольные листы (Боэм, ДеМарко — Листер), анализ допущений ПЗ1, мозговой штурм команды. Жёлтые ячейки — экспертные оценки; остальное считается формулами.</t>
  </si>
  <si>
    <t>№</t>
  </si>
  <si>
    <t>Обозна-
чение</t>
  </si>
  <si>
    <t>Наименование риска</t>
  </si>
  <si>
    <t>Категория</t>
  </si>
  <si>
    <t>Влияние на проект (последствия)</t>
  </si>
  <si>
    <t>Триггер</t>
  </si>
  <si>
    <t>Вероят-
ность P
(0–1)</t>
  </si>
  <si>
    <t>Воздей-
ствие I
(0–1)</t>
  </si>
  <si>
    <t>Коэфф.
K = P×I</t>
  </si>
  <si>
    <t>Приоритет</t>
  </si>
  <si>
    <t>Метод
реагирования</t>
  </si>
  <si>
    <t>Меры реагирования</t>
  </si>
  <si>
    <t>Ответственный</t>
  </si>
  <si>
    <t>Работы WBS</t>
  </si>
  <si>
    <t>Потери при
наступлении,
BYN</t>
  </si>
  <si>
    <t>Ожидаемые
потери
P×потери, BYN</t>
  </si>
  <si>
    <t>Затраты
на меры,
BYN</t>
  </si>
  <si>
    <t>Целесообразность мер</t>
  </si>
  <si>
    <t>P после
мер</t>
  </si>
  <si>
    <t>I после
мер</t>
  </si>
  <si>
    <t>Остаточный
K</t>
  </si>
  <si>
    <t>Остаточный
приоритет</t>
  </si>
  <si>
    <t>Ранг
по K</t>
  </si>
  <si>
    <t>Крупные платформы (Microsoft Copilot, ChatGPT / Claude for Excel) выпустят бесплатный «режим проверки»</t>
  </si>
  <si>
    <t>Рыночный</t>
  </si>
  <si>
    <t>Потеря уникальности, падение конверсии и выручки</t>
  </si>
  <si>
    <t>Анонс функции аудита или верификации у лидеров рынка</t>
  </si>
  <si>
    <t>Снижение</t>
  </si>
  <si>
    <t>Фокус на нише аудита финмоделей; сверка текста с таблицей и provenance; API/MCP как слой проверки для чужих AI-агентов; ежемесячный мониторинг конкурентов</t>
  </si>
  <si>
    <t>Владелец продукта</t>
  </si>
  <si>
    <t>1.0, 15.0</t>
  </si>
  <si>
    <t>Высокая доля ложных срабатываний правил (precision критичных находок &lt; 90%)</t>
  </si>
  <si>
    <t>Технический</t>
  </si>
  <si>
    <t>Потеря доверия, отток бета-пользователей, провал критерия приёмки</t>
  </si>
  <si>
    <t>Доля подавленных находок &gt; 15%; precision ниже порога в CI</t>
  </si>
  <si>
    <t>Precision — главная метрика; чистый eval-набор; уровни серьёзности; подавление правил; правило выпускается только после прохождения eval</t>
  </si>
  <si>
    <t>ML/LLM-инженер</t>
  </si>
  <si>
    <t>5.0, 6.0</t>
  </si>
  <si>
    <t>Пользователи не захотят менять привычную работу в Excel и пробовать новый сервис</t>
  </si>
  <si>
    <t>Нет активации и продаж — продукт не подтверждает ценность</t>
  </si>
  <si>
    <t>Менее 8% посетителей начинают аудит; нет повторных аудитов</t>
  </si>
  <si>
    <t>Старт с веб-аудита без установки и надстройки внутри Excel; собственный редактор — только после подтверждения спроса; бесплатный тизер находок</t>
  </si>
  <si>
    <t>4.0, 12.0</t>
  </si>
  <si>
    <t>Срыв сроков критического пути из-за недооценки трудоёмкости (ядро, надстройка)</t>
  </si>
  <si>
    <t>Организационный</t>
  </si>
  <si>
    <t>Сдвиг релиза, рост затрат на оплату труда</t>
  </si>
  <si>
    <t>Отставание &gt; 2 недель от базового плана на воротах</t>
  </si>
  <si>
    <t>Руководитель проекта</t>
  </si>
  <si>
    <t>6.0, 12.0</t>
  </si>
  <si>
    <t>Пользователи не готовы загружать конфиденциальные финмодели в облако</t>
  </si>
  <si>
    <t>Низкая активация, мало данных для проверки ценности</t>
  </si>
  <si>
    <t>Отказы на шаге загрузки &gt; 70%</t>
  </si>
  <si>
    <t>Блок доверия у загрузчика, хостинг в ЕС, удаление файлов по сроку, отказ от обучения на данных, демо-файл «проверить на примере»</t>
  </si>
  <si>
    <t>2.0, 8.0</t>
  </si>
  <si>
    <t>Сложные элементы xlsx (объединённые ячейки, массивы, локали, внешние ссылки) — расхождение пересчёта с Excel</t>
  </si>
  <si>
    <t>Ошибочные находки, сдвиг сроков разработки ядра</t>
  </si>
  <si>
    <t>Доля ошибок парсинга &gt; 5% на eval-наборе</t>
  </si>
  <si>
    <t>Набор эталонных книг; сложные элементы только читаются с предупреждением и пометкой «проверено частично»</t>
  </si>
  <si>
    <t>Бэкенд-разработчик 2</t>
  </si>
  <si>
    <t>6.0</t>
  </si>
  <si>
    <t>Уход или выгорание ключевого разработчика ядра верификации</t>
  </si>
  <si>
    <t>Потеря знаний, срыв сроков критического пути</t>
  </si>
  <si>
    <t>Снижение вовлечённости, переработки, внешнее предложение о работе</t>
  </si>
  <si>
    <t>ADR и документация, обязательное код-ревью, совместное владение ядром двумя разработчиками, контроль нагрузки</t>
  </si>
  <si>
    <t>Рост цен или изменение условий LLM API</t>
  </si>
  <si>
    <t>Финансовый</t>
  </si>
  <si>
    <t>Снижение валовой маржи ниже 65%</t>
  </si>
  <si>
    <t>Стоимость LLM &gt; 30% выручки на пользователя</t>
  </si>
  <si>
    <t>LLM gateway с несколькими провайдерами, кэш промптов, эвристики до вызова LLM, лимиты тарифов</t>
  </si>
  <si>
    <t>10.0</t>
  </si>
  <si>
    <t>Низкая конверсия Free → платный тариф (&lt; 2%)</t>
  </si>
  <si>
    <t>Цель «≥ 50 платящих пользователей» не достигнута</t>
  </si>
  <si>
    <t>Конверсия &lt; 2% через месяц после запуска оплаты</t>
  </si>
  <si>
    <t>Оплата в точке максимальной ценности («исправить и скачать»), разовый аудит 9 €, пробный Pro 7 дней, A/B-тест цен</t>
  </si>
  <si>
    <t>11.0, 15.0</t>
  </si>
  <si>
    <t>Превышение бюджета проекта</t>
  </si>
  <si>
    <t>Нехватка средств на запуск и маркетинг</t>
  </si>
  <si>
    <t>Освоение бюджета опережает план более чем на 10%</t>
  </si>
  <si>
    <t>Принятие</t>
  </si>
  <si>
    <t>Резерв 10% от базовой стоимости (47 000 BYN), ежемесячный контроль затрат, приоритизация Must have</t>
  </si>
  <si>
    <t>все</t>
  </si>
  <si>
    <t>Лицензия движка пересчёта формул (например, GPLv3) несовместима с закрытым SaaS</t>
  </si>
  <si>
    <t>Правовой</t>
  </si>
  <si>
    <t>Замена библиотеки, +1–2 месяца на критическом пути</t>
  </si>
  <si>
    <t>Выбрана библиотека с copyleft-лицензией</t>
  </si>
  <si>
    <t>Уклонение</t>
  </si>
  <si>
    <t>Проверка лицензий на этапе архитектуры, выбор permissive-библиотек или собственный пересчёт, проверка лицензий в CI</t>
  </si>
  <si>
    <t>Бэкенд-разработчик 1</t>
  </si>
  <si>
    <t>3.0, 6.0</t>
  </si>
  <si>
    <t>Не удастся привлечь 10–20 пилотных пользователей с реальными финмоделями</t>
  </si>
  <si>
    <t>Нерепрезентативный eval-набор, правила настроены «вслепую»</t>
  </si>
  <si>
    <t>К концу 2-го месяца &lt; 5 пилотных пользователей</t>
  </si>
  <si>
    <t>Прямой выход на бухгалтерские и консалтинговые фирмы, бесплатный аудит шаблона, открытые финмодели как резерв</t>
  </si>
  <si>
    <t>1.0, 5.0</t>
  </si>
  <si>
    <t>Нарушение GDPR / Закона РБ № 99-З «О защите персональных данных» при передаче данных LLM-провайдеру</t>
  </si>
  <si>
    <t>Штрафы, блокировка обработки, репутационный ущерб</t>
  </si>
  <si>
    <t>Нет DPA с провайдером; провайдер без обработки в ЕС</t>
  </si>
  <si>
    <t>Только провайдеры с zero data retention и регионом ЕС; DPA; реестр обработки; в LLM передаётся профиль таблицы, а не весь файл</t>
  </si>
  <si>
    <t>Руководитель проекта (юрист)</t>
  </si>
  <si>
    <t>2.0, 10.0</t>
  </si>
  <si>
    <t>Задержка или отказ в публикации надстройки в Microsoft AppSource</t>
  </si>
  <si>
    <t>Внешний</t>
  </si>
  <si>
    <t>Сдвиг публичного релиза основного продукта</t>
  </si>
  <si>
    <t>Замечания валидации AppSource; проверка дольше 4 недель</t>
  </si>
  <si>
    <t>Чек-лист валидации AppSource проходится на бете 13.0 и в тестировании 14.0; подача — в первый день работы 15.0 (01.09.2027), проверка до 4 недель укладывается в месяц работы; при задержке публичный запуск идёт через веб-аудит, надстройка публикуется позже</t>
  </si>
  <si>
    <t>Фронтенд-разработчик</t>
  </si>
  <si>
    <t>12.0, 15.0</t>
  </si>
  <si>
    <t>Раздувание требований (собственный редактор, коннекторы, Google Sheets)</t>
  </si>
  <si>
    <t>Распыление ресурсов, задержка MVP до 2 недель</t>
  </si>
  <si>
    <t>Запросы вне списка Must/Should от заказчика и бета-пользователей</t>
  </si>
  <si>
    <t>Зафиксированный список Won’t have, процедура управления изменениями, бэклог v2</t>
  </si>
  <si>
    <t>1.0, 13.0</t>
  </si>
  <si>
    <t>Утечка файлов клиентов (ошибка разграничения доступа, взлом)</t>
  </si>
  <si>
    <t>Безопасность</t>
  </si>
  <si>
    <t>Штрафы, потеря доверия, закрытие B2B-продаж</t>
  </si>
  <si>
    <t>Аномальные запросы к хранилищу; критическая уязвимость в зависимостях</t>
  </si>
  <si>
    <t>Снижение + передача</t>
  </si>
  <si>
    <t>RLS по воркспейсу, шифрование, песочница без сети, сканирование зависимостей, пентест; страхование киберрисков</t>
  </si>
  <si>
    <t>7.0, 14.0</t>
  </si>
  <si>
    <t>Prompt injection через содержимое ячеек и текста документа</t>
  </si>
  <si>
    <t>Искажённые планы агента, утечка системного промпта</t>
  </si>
  <si>
    <t>Внедрённые инструкции из тестового набора проходят фильтр</t>
  </si>
  <si>
    <t>Данные в помеченных блоках, у агента нет инструментов с внешними эффектами, верификация каждого плана</t>
  </si>
  <si>
    <t>10.0, 14.0</t>
  </si>
  <si>
    <t>Искажение структуры, стилей или диаграмм xlsx при экспорте исправленного файла</t>
  </si>
  <si>
    <t>Пользователь получает повреждённую книгу, потеря доверия к исправлениям</t>
  </si>
  <si>
    <t>Регрессионный тест «до/после экспорта» показывает отличия вне исправленных ячеек</t>
  </si>
  <si>
    <t>Точечная правка XML внутри исходного пакета xlsx вместо пересохранения; регрессионный тест экспорта; проверка открытия в Excel для Windows, Mac и веб</t>
  </si>
  <si>
    <t>7.0, 9.0</t>
  </si>
  <si>
    <t>Временная недоступность провайдера LLM</t>
  </si>
  <si>
    <t>Нет AI-объяснений и исправлений на время сбоя</t>
  </si>
  <si>
    <t>Ошибки или таймауты API &gt; 5% за час</t>
  </si>
  <si>
    <t>Проверки работают без LLM; шаблонные объяснения из каталога правил; переключение провайдера в gateway</t>
  </si>
  <si>
    <t>Итого</t>
  </si>
  <si>
    <t>Сводка</t>
  </si>
  <si>
    <t>Рисков высокого приоритета</t>
  </si>
  <si>
    <t>Рисков среднего приоритета</t>
  </si>
  <si>
    <t>Рисков низкого приоритета</t>
  </si>
  <si>
    <t>Средний коэффициент K до мер</t>
  </si>
  <si>
    <t>Средний коэффициент K после мер</t>
  </si>
  <si>
    <t>Снижение суммарного риска, %</t>
  </si>
  <si>
    <t>Затраты на меры (заложены в статьи бюджета как работы WBS), BYN</t>
  </si>
  <si>
    <t>Резерв на риски (10% от базовой стоимости), BYN</t>
  </si>
  <si>
    <t>Ожидаемые потери по принятым рискам, BYN</t>
  </si>
  <si>
    <t>Резерв покрывает принятые риски?</t>
  </si>
  <si>
    <t>Возможности (положительные риски)</t>
  </si>
  <si>
    <t>Код</t>
  </si>
  <si>
    <t>Возможность</t>
  </si>
  <si>
    <t>Эффект для проекта</t>
  </si>
  <si>
    <t>Вероятность</t>
  </si>
  <si>
    <t>Стратегия</t>
  </si>
  <si>
    <t>В.1</t>
  </si>
  <si>
    <t>Партнёрство с бухгалтерскими и консалтинговыми фирмами</t>
  </si>
  <si>
    <t>+20–30 платящих мест по тарифу Team</t>
  </si>
  <si>
    <t>Две и более фирмы бесплатно проверили свой шаблон</t>
  </si>
  <si>
    <t>Использование: пилот Team со скидкой, совместные кейсы</t>
  </si>
  <si>
    <t>В.2</t>
  </si>
  <si>
    <t>Спрос AI-компаний на проверку через API / MCP</t>
  </si>
  <si>
    <t>Новый B2B-канал, защита от конкуренции встроенных ассистентов</t>
  </si>
  <si>
    <t>Запросы на API от бета-пользователей и интеграторов</t>
  </si>
  <si>
    <t>Усиление: вынести API раньше, в начало v2</t>
  </si>
  <si>
    <t>В.3</t>
  </si>
  <si>
    <t>AI-агенты для кодирования ускорят типовые работы</t>
  </si>
  <si>
    <t>Сокращение сроков обвязки бэкенда и фронтенда на 20–30%</t>
  </si>
  <si>
    <t>Скорость закрытия задач выше плана на воротах 2</t>
  </si>
  <si>
    <t>Использование: высвободившееся время — в резерв критического пути</t>
  </si>
  <si>
    <t>Шкалы качественной оценки рисков проекта TableMind (бюджет 517 000 BYN, срок 12 месяцев)</t>
  </si>
  <si>
    <t>Шкала вероятности (P, от 0 до 1)</t>
  </si>
  <si>
    <t>Оценка P</t>
  </si>
  <si>
    <t>Описание</t>
  </si>
  <si>
    <t>Пример для проекта</t>
  </si>
  <si>
    <t>Вероятность наступления</t>
  </si>
  <si>
    <t>0,1–0,2</t>
  </si>
  <si>
    <t>Очень низкая</t>
  </si>
  <si>
    <t>Единичный случай в отрасли</t>
  </si>
  <si>
    <t>&lt; 20%</t>
  </si>
  <si>
    <t>0,2–0,4</t>
  </si>
  <si>
    <t>Низкая</t>
  </si>
  <si>
    <t>Возможно, но маловероятно за год</t>
  </si>
  <si>
    <t>20–40%</t>
  </si>
  <si>
    <t>0,4–0,6</t>
  </si>
  <si>
    <t>Средняя</t>
  </si>
  <si>
    <t>Случается примерно в половине похожих проектов</t>
  </si>
  <si>
    <t>40–60%</t>
  </si>
  <si>
    <t>0,6–0,8</t>
  </si>
  <si>
    <t>Высокая</t>
  </si>
  <si>
    <t>Скорее произойдёт, есть явные признаки</t>
  </si>
  <si>
    <t>60–80%</t>
  </si>
  <si>
    <t>0,8–1,0</t>
  </si>
  <si>
    <t>Очень высокая</t>
  </si>
  <si>
    <t>Почти наверняка</t>
  </si>
  <si>
    <t>&gt; 80%</t>
  </si>
  <si>
    <t>Шкала воздействия (I, от 0 до 1)</t>
  </si>
  <si>
    <t>Оценка I</t>
  </si>
  <si>
    <t>Финансовые потери</t>
  </si>
  <si>
    <t>Сроки</t>
  </si>
  <si>
    <t>Репутация / качество</t>
  </si>
  <si>
    <t>Юридические последствия</t>
  </si>
  <si>
    <t>Очень низкое</t>
  </si>
  <si>
    <t>&lt; 5 000 BYN (&lt; 1% бюджета)</t>
  </si>
  <si>
    <t>задержка &lt; 1 недели</t>
  </si>
  <si>
    <t>незаметно пользователям</t>
  </si>
  <si>
    <t>нет</t>
  </si>
  <si>
    <t>0,3–0,4</t>
  </si>
  <si>
    <t>Низкое</t>
  </si>
  <si>
    <t>5 000–15 000 BYN</t>
  </si>
  <si>
    <t>до 2 недель</t>
  </si>
  <si>
    <t>единичные жалобы</t>
  </si>
  <si>
    <t>предписание без штрафа</t>
  </si>
  <si>
    <t>0,5–0,6</t>
  </si>
  <si>
    <t>Среднее</t>
  </si>
  <si>
    <t>15 000–30 000 BYN</t>
  </si>
  <si>
    <t>до 1 месяца</t>
  </si>
  <si>
    <t>снижение метрик беты</t>
  </si>
  <si>
    <t>штраф по Закону № 99-З</t>
  </si>
  <si>
    <t>0,7–0,8</t>
  </si>
  <si>
    <t>Высокое</t>
  </si>
  <si>
    <t>30 000–60 000 BYN</t>
  </si>
  <si>
    <t>1–2 месяца, срыв ворот</t>
  </si>
  <si>
    <t>срыв критерия приёмки, отток</t>
  </si>
  <si>
    <t>проверка регулятора (НЦЗПД, надзор ЕС)</t>
  </si>
  <si>
    <t>0,9–1,0</t>
  </si>
  <si>
    <t>Очень высокое</t>
  </si>
  <si>
    <t>&gt; 60 000 BYN</t>
  </si>
  <si>
    <t>срыв проекта</t>
  </si>
  <si>
    <t>потеря доверия рынка</t>
  </si>
  <si>
    <t>штраф GDPR, блокировка обработки</t>
  </si>
  <si>
    <t>Приоритет риска по коэффициенту K = P × I (пороги — как в шаблоне «Карта рисков в Excel»: 0,505 и 0,14)</t>
  </si>
  <si>
    <t>Порог K</t>
  </si>
  <si>
    <t>Действие</t>
  </si>
  <si>
    <t>Высокий (K &gt; 0,505)</t>
  </si>
  <si>
    <t>Обязательные меры, еженедельный мониторинг, владелец — член команды</t>
  </si>
  <si>
    <t>Средний (0,14 ≤ K ≤ 0,505)</t>
  </si>
  <si>
    <t>Меры при экономической целесообразности, мониторинг на воротах</t>
  </si>
  <si>
    <t>Низкий (K &lt; 0,14)</t>
  </si>
  <si>
    <t>Принятие, контроль по триггеру</t>
  </si>
  <si>
    <t>Методы реагирования (PMBOK): уклонение — изменить план и исключить угрозу; снижение — уменьшить вероятность и/или последствия; передача — переложить последствия на третью сторону (договор, страхование); принятие — осознанно оставить риск и покрыть его резервом.</t>
  </si>
  <si>
    <t>Карта рисков проекта TableMind (вероятность × воздействие)</t>
  </si>
  <si>
    <t>Сетка 0,1 × 0,1, как «3 вариант» в шаблоне: в ячейке — риски с такими P и I (формулы из «Реестра рисков»). Цвет — по K = P × I: &gt; 0,505 высокий, 0,14–0,505 средний, &lt; 0,14 низкий.</t>
  </si>
  <si>
    <t>I ↓ / P →</t>
  </si>
  <si>
    <t>Сила воздействия риска I</t>
  </si>
  <si>
    <t>Вероятность возникновения риска P</t>
  </si>
  <si>
    <t>Высокий приоритет (K &gt; 0,505)</t>
  </si>
  <si>
    <t>Средний приоритет (0,14 ≤ K ≤ 0,505)</t>
  </si>
  <si>
    <t>Низкий приоритет (K &lt; 0,14)</t>
  </si>
  <si>
    <t>Топ-5 рисков по коэффициенту K</t>
  </si>
  <si>
    <t>Место</t>
  </si>
  <si>
    <t>Риск</t>
  </si>
  <si>
    <t>K</t>
  </si>
  <si>
    <t>Ворота фаз, еженедельный контроль по диаграмме Ганта; при отставании более 2 недель — подключение бэкенд-разработчика 1 к работам ядра и надстройки и подрядчик за счёт резерва; AI-агенты для типового кода; Should и Could в план не входят, объём Must не расширяется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</si>
</sst>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b/>
      <sz val="14"/>
      <color rgb="FF0F766E"/>
      <name val="Arial"/>
      <charset val="1"/>
    </font>
    <font>
      <i/>
      <sz val="10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1"/>
      <name val="Arial"/>
      <charset val="1"/>
    </font>
    <font>
      <b/>
      <sz val="11"/>
      <color rgb="FF0F766E"/>
      <name val="Arial"/>
      <charset val="1"/>
    </font>
    <font>
      <b/>
      <sz val="10"/>
      <color rgb="FF0000FF"/>
      <name val="Arial"/>
      <charset val="1"/>
    </font>
    <font>
      <i/>
      <sz val="10"/>
      <name val="Arial"/>
      <charset val="1"/>
    </font>
    <font>
      <b/>
      <sz val="9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2CC"/>
        <bgColor rgb="FFFFE699"/>
      </patternFill>
    </fill>
    <fill>
      <patternFill patternType="solid">
        <fgColor rgb="FFF4B6B6"/>
        <bgColor rgb="FFFF99CC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C6E0B4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textRotation="90"/>
    </xf>
    <xf numFmtId="0" fontId="10" fillId="0" borderId="0" xfId="0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2" fontId="6" fillId="3" borderId="1" xfId="0" applyNumberFormat="1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3" fontId="6" fillId="3" borderId="1" xfId="0" applyNumberFormat="1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3" fontId="7" fillId="0" borderId="1" xfId="0" applyNumberFormat="1" applyFont="1" applyBorder="1"/>
    <xf numFmtId="0" fontId="8" fillId="0" borderId="0" xfId="0" applyFont="1"/>
    <xf numFmtId="0" fontId="4" fillId="0" borderId="1" xfId="0" applyFont="1" applyBorder="1"/>
    <xf numFmtId="2" fontId="5" fillId="0" borderId="1" xfId="0" applyNumberFormat="1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1" fillId="0" borderId="0" xfId="0" applyFont="1"/>
    <xf numFmtId="164" fontId="7" fillId="7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4" borderId="0" xfId="0" applyFill="1"/>
    <xf numFmtId="0" fontId="4" fillId="0" borderId="0" xfId="0" applyFont="1"/>
    <xf numFmtId="0" fontId="0" fillId="5" borderId="0" xfId="0" applyFill="1"/>
    <xf numFmtId="0" fontId="0" fillId="6" borderId="0" xfId="0" applyFill="1"/>
  </cellXfs>
  <cellStyles count="1">
    <cellStyle name="Обычный" xfId="0" builtinId="0"/>
  </cellStyles>
  <dxfs count="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F766E"/>
      <rgbColor rgb="FFC6E0B4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BF8F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Карта рисков: вероятность × воздействие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R1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рисков'!$G$5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рисков'!$H$5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E9-4378-BFF8-145CB2EEAB2F}"/>
            </c:ext>
          </c:extLst>
        </c:ser>
        <c:ser>
          <c:idx val="1"/>
          <c:order val="1"/>
          <c:tx>
            <c:v>R2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рисков'!$G$6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рисков'!$H$6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E9-4378-BFF8-145CB2EEAB2F}"/>
            </c:ext>
          </c:extLst>
        </c:ser>
        <c:ser>
          <c:idx val="2"/>
          <c:order val="2"/>
          <c:tx>
            <c:v>R3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рисков'!$G$7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E9-4378-BFF8-145CB2EEAB2F}"/>
            </c:ext>
          </c:extLst>
        </c:ser>
        <c:ser>
          <c:idx val="3"/>
          <c:order val="3"/>
          <c:tx>
            <c:v>R4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рисков'!$G$8</c:f>
              <c:numCache>
                <c:formatCode>0.00</c:formatCode>
                <c:ptCount val="1"/>
                <c:pt idx="0">
                  <c:v>0.8</c:v>
                </c:pt>
              </c:numCache>
            </c:numRef>
          </c:xVal>
          <c:yVal>
            <c:numRef>
              <c:f>'Реестр рисков'!$H$8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E9-4378-BFF8-145CB2EEAB2F}"/>
            </c:ext>
          </c:extLst>
        </c:ser>
        <c:ser>
          <c:idx val="4"/>
          <c:order val="4"/>
          <c:tx>
            <c:v>R5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рисков'!$G$9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рисков'!$H$9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E9-4378-BFF8-145CB2EEAB2F}"/>
            </c:ext>
          </c:extLst>
        </c:ser>
        <c:ser>
          <c:idx val="5"/>
          <c:order val="5"/>
          <c:tx>
            <c:v>R6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рисков'!$G$10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рисков'!$H$10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E9-4378-BFF8-145CB2EEAB2F}"/>
            </c:ext>
          </c:extLst>
        </c:ser>
        <c:ser>
          <c:idx val="6"/>
          <c:order val="6"/>
          <c:tx>
            <c:v>R7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рисков'!$G$11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рисков'!$H$11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E9-4378-BFF8-145CB2EEAB2F}"/>
            </c:ext>
          </c:extLst>
        </c:ser>
        <c:ser>
          <c:idx val="7"/>
          <c:order val="7"/>
          <c:tx>
            <c:v>R8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рисков'!$G$12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рисков'!$H$12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E9-4378-BFF8-145CB2EEAB2F}"/>
            </c:ext>
          </c:extLst>
        </c:ser>
        <c:ser>
          <c:idx val="8"/>
          <c:order val="8"/>
          <c:tx>
            <c:v>R9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рисков'!$G$13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рисков'!$H$13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E9-4378-BFF8-145CB2EEAB2F}"/>
            </c:ext>
          </c:extLst>
        </c:ser>
        <c:ser>
          <c:idx val="9"/>
          <c:order val="9"/>
          <c:tx>
            <c:v>R10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рисков'!$G$14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рисков'!$H$14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E9-4378-BFF8-145CB2EEAB2F}"/>
            </c:ext>
          </c:extLst>
        </c:ser>
        <c:ser>
          <c:idx val="10"/>
          <c:order val="10"/>
          <c:tx>
            <c:v>R11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рисков'!$G$15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рисков'!$H$15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BE9-4378-BFF8-145CB2EEAB2F}"/>
            </c:ext>
          </c:extLst>
        </c:ser>
        <c:ser>
          <c:idx val="11"/>
          <c:order val="11"/>
          <c:tx>
            <c:v>R12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рисков'!$G$16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рисков'!$H$16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BE9-4378-BFF8-145CB2EEAB2F}"/>
            </c:ext>
          </c:extLst>
        </c:ser>
        <c:ser>
          <c:idx val="12"/>
          <c:order val="12"/>
          <c:tx>
            <c:v>R13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рисков'!$G$17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BE9-4378-BFF8-145CB2EEAB2F}"/>
            </c:ext>
          </c:extLst>
        </c:ser>
        <c:ser>
          <c:idx val="13"/>
          <c:order val="13"/>
          <c:tx>
            <c:v>R14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рисков'!$G$18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рисков'!$H$18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BE9-4378-BFF8-145CB2EEAB2F}"/>
            </c:ext>
          </c:extLst>
        </c:ser>
        <c:ser>
          <c:idx val="14"/>
          <c:order val="14"/>
          <c:tx>
            <c:v>R15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рисков'!$G$19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рисков'!$H$19</c:f>
              <c:numCache>
                <c:formatCode>0.00</c:formatCode>
                <c:ptCount val="1"/>
                <c:pt idx="0">
                  <c:v>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BE9-4378-BFF8-145CB2EEAB2F}"/>
            </c:ext>
          </c:extLst>
        </c:ser>
        <c:ser>
          <c:idx val="15"/>
          <c:order val="15"/>
          <c:tx>
            <c:v>R16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рисков'!$G$20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рисков'!$H$20</c:f>
              <c:numCache>
                <c:formatCode>0.00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BE9-4378-BFF8-145CB2EEAB2F}"/>
            </c:ext>
          </c:extLst>
        </c:ser>
        <c:ser>
          <c:idx val="16"/>
          <c:order val="16"/>
          <c:tx>
            <c:v>R17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рисков'!$G$21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рисков'!$H$21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BE9-4378-BFF8-145CB2EEAB2F}"/>
            </c:ext>
          </c:extLst>
        </c:ser>
        <c:ser>
          <c:idx val="17"/>
          <c:order val="17"/>
          <c:tx>
            <c:v>R18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рисков'!$G$22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рисков'!$H$22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BE9-4378-BFF8-145CB2EEAB2F}"/>
            </c:ext>
          </c:extLst>
        </c:ser>
        <c:ser>
          <c:idx val="18"/>
          <c:order val="18"/>
          <c:tx>
            <c:v>R19</c:v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рисков'!$G$23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рисков'!$H$23</c:f>
              <c:numCache>
                <c:formatCode>0.00</c:formatCode>
                <c:ptCount val="1"/>
                <c:pt idx="0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BE9-4378-BFF8-145CB2EEA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93822"/>
        <c:axId val="30939885"/>
      </c:scatterChart>
      <c:valAx>
        <c:axId val="73693822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Вероятность 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ru-RU"/>
          </a:p>
        </c:txPr>
        <c:crossAx val="30939885"/>
        <c:crosses val="autoZero"/>
        <c:crossBetween val="midCat"/>
        <c:majorUnit val="0.2"/>
      </c:valAx>
      <c:valAx>
        <c:axId val="30939885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Воздействие 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ru-RU"/>
          </a:p>
        </c:txPr>
        <c:crossAx val="73693822"/>
        <c:crosses val="autoZero"/>
        <c:crossBetween val="midCat"/>
        <c:majorUnit val="0.2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160920</xdr:rowOff>
    </xdr:from>
    <xdr:to>
      <xdr:col>24</xdr:col>
      <xdr:colOff>4320</xdr:colOff>
      <xdr:row>15</xdr:row>
      <xdr:rowOff>99000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showGridLines="0"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6640625" defaultRowHeight="14.25" x14ac:dyDescent="0.45"/>
  <cols>
    <col min="1" max="1" width="5" customWidth="1"/>
    <col min="2" max="2" width="8" customWidth="1"/>
    <col min="3" max="3" width="40" customWidth="1"/>
    <col min="4" max="4" width="14" customWidth="1"/>
    <col min="5" max="6" width="28" customWidth="1"/>
    <col min="7" max="9" width="9" customWidth="1"/>
    <col min="10" max="10" width="11" customWidth="1"/>
    <col min="11" max="11" width="13" customWidth="1"/>
    <col min="12" max="12" width="50" customWidth="1"/>
    <col min="13" max="13" width="17" customWidth="1"/>
    <col min="14" max="14" width="11" customWidth="1"/>
    <col min="15" max="16" width="12" customWidth="1"/>
    <col min="17" max="17" width="10" customWidth="1"/>
    <col min="18" max="18" width="22" customWidth="1"/>
    <col min="19" max="20" width="8" customWidth="1"/>
    <col min="21" max="21" width="10" customWidth="1"/>
    <col min="22" max="22" width="11" customWidth="1"/>
    <col min="23" max="23" width="7" customWidth="1"/>
  </cols>
  <sheetData>
    <row r="1" spans="1:23" ht="17.649999999999999" x14ac:dyDescent="0.5">
      <c r="A1" s="7" t="s">
        <v>0</v>
      </c>
    </row>
    <row r="2" spans="1:23" x14ac:dyDescent="0.45">
      <c r="A2" s="8" t="s">
        <v>1</v>
      </c>
    </row>
    <row r="4" spans="1:23" ht="57.75" customHeight="1" x14ac:dyDescent="0.45">
      <c r="A4" s="9" t="s">
        <v>2</v>
      </c>
      <c r="B4" s="9" t="s">
        <v>3</v>
      </c>
      <c r="C4" s="9" t="s">
        <v>4</v>
      </c>
      <c r="D4" s="9" t="s">
        <v>5</v>
      </c>
      <c r="E4" s="9" t="s">
        <v>6</v>
      </c>
      <c r="F4" s="9" t="s">
        <v>7</v>
      </c>
      <c r="G4" s="9" t="s">
        <v>8</v>
      </c>
      <c r="H4" s="9" t="s">
        <v>9</v>
      </c>
      <c r="I4" s="9" t="s">
        <v>10</v>
      </c>
      <c r="J4" s="9" t="s">
        <v>11</v>
      </c>
      <c r="K4" s="9" t="s">
        <v>12</v>
      </c>
      <c r="L4" s="9" t="s">
        <v>13</v>
      </c>
      <c r="M4" s="9" t="s">
        <v>14</v>
      </c>
      <c r="N4" s="9" t="s">
        <v>15</v>
      </c>
      <c r="O4" s="9" t="s">
        <v>16</v>
      </c>
      <c r="P4" s="9" t="s">
        <v>17</v>
      </c>
      <c r="Q4" s="9" t="s">
        <v>18</v>
      </c>
      <c r="R4" s="9" t="s">
        <v>19</v>
      </c>
      <c r="S4" s="9" t="s">
        <v>20</v>
      </c>
      <c r="T4" s="9" t="s">
        <v>21</v>
      </c>
      <c r="U4" s="9" t="s">
        <v>22</v>
      </c>
      <c r="V4" s="9" t="s">
        <v>23</v>
      </c>
      <c r="W4" s="9" t="s">
        <v>24</v>
      </c>
    </row>
    <row r="5" spans="1:23" ht="63.75" customHeight="1" x14ac:dyDescent="0.45">
      <c r="A5" s="10">
        <v>1</v>
      </c>
      <c r="B5" s="11" t="str">
        <f t="shared" ref="B5:B23" si="0">"R"&amp;A5</f>
        <v>R1</v>
      </c>
      <c r="C5" s="12" t="s">
        <v>25</v>
      </c>
      <c r="D5" s="10" t="s">
        <v>26</v>
      </c>
      <c r="E5" s="12" t="s">
        <v>27</v>
      </c>
      <c r="F5" s="12" t="s">
        <v>28</v>
      </c>
      <c r="G5" s="13">
        <v>0.7</v>
      </c>
      <c r="H5" s="13">
        <v>0.8</v>
      </c>
      <c r="I5" s="14">
        <f t="shared" ref="I5:I23" si="1">G5*H5</f>
        <v>0.55999999999999994</v>
      </c>
      <c r="J5" s="10" t="str">
        <f>IF(I5&gt;'Шкалы оценки'!$B$21,"Высокий",IF(I5&gt;='Шкалы оценки'!$B$22,"Средний","Низкий"))</f>
        <v>Высокий</v>
      </c>
      <c r="K5" s="10" t="s">
        <v>29</v>
      </c>
      <c r="L5" s="12" t="s">
        <v>30</v>
      </c>
      <c r="M5" s="12" t="s">
        <v>31</v>
      </c>
      <c r="N5" s="10" t="s">
        <v>32</v>
      </c>
      <c r="O5" s="15">
        <v>45000</v>
      </c>
      <c r="P5" s="16">
        <f t="shared" ref="P5:P23" si="2">G5*O5</f>
        <v>31499.999999999996</v>
      </c>
      <c r="Q5" s="15">
        <v>5000</v>
      </c>
      <c r="R5" s="12" t="str">
        <f t="shared" ref="R5:R23" si="3">IF(K5="Принятие","Принятие: покрывается резервом",IF(Q5&lt;P5,"Оправданы (затраты &lt; ожид. потерь)","Пересмотреть меры"))</f>
        <v>Оправданы (затраты &lt; ожид. потерь)</v>
      </c>
      <c r="S5" s="13">
        <v>0.5</v>
      </c>
      <c r="T5" s="13">
        <v>0.6</v>
      </c>
      <c r="U5" s="14">
        <f t="shared" ref="U5:U23" si="4">S5*T5</f>
        <v>0.3</v>
      </c>
      <c r="V5" s="10" t="str">
        <f>IF(U5&gt;'Шкалы оценки'!$B$21,"Высокий",IF(U5&gt;='Шкалы оценки'!$B$22,"Средний","Низкий"))</f>
        <v>Средний</v>
      </c>
      <c r="W5" s="10">
        <f>RANK(I5,$I$5:$I$23)+COUNTIF($I$5:I5,I5)-1</f>
        <v>2</v>
      </c>
    </row>
    <row r="6" spans="1:23" ht="63.75" customHeight="1" x14ac:dyDescent="0.45">
      <c r="A6" s="10">
        <v>2</v>
      </c>
      <c r="B6" s="11" t="str">
        <f t="shared" si="0"/>
        <v>R2</v>
      </c>
      <c r="C6" s="12" t="s">
        <v>33</v>
      </c>
      <c r="D6" s="10" t="s">
        <v>34</v>
      </c>
      <c r="E6" s="12" t="s">
        <v>35</v>
      </c>
      <c r="F6" s="12" t="s">
        <v>36</v>
      </c>
      <c r="G6" s="13">
        <v>0.6</v>
      </c>
      <c r="H6" s="13">
        <v>0.9</v>
      </c>
      <c r="I6" s="14">
        <f t="shared" si="1"/>
        <v>0.54</v>
      </c>
      <c r="J6" s="10" t="str">
        <f>IF(I6&gt;'Шкалы оценки'!$B$21,"Высокий",IF(I6&gt;='Шкалы оценки'!$B$22,"Средний","Низкий"))</f>
        <v>Высокий</v>
      </c>
      <c r="K6" s="10" t="s">
        <v>29</v>
      </c>
      <c r="L6" s="12" t="s">
        <v>37</v>
      </c>
      <c r="M6" s="12" t="s">
        <v>38</v>
      </c>
      <c r="N6" s="10" t="s">
        <v>39</v>
      </c>
      <c r="O6" s="15">
        <v>70000</v>
      </c>
      <c r="P6" s="16">
        <f t="shared" si="2"/>
        <v>42000</v>
      </c>
      <c r="Q6" s="15">
        <v>8000</v>
      </c>
      <c r="R6" s="12" t="str">
        <f t="shared" si="3"/>
        <v>Оправданы (затраты &lt; ожид. потерь)</v>
      </c>
      <c r="S6" s="13">
        <v>0.3</v>
      </c>
      <c r="T6" s="13">
        <v>0.6</v>
      </c>
      <c r="U6" s="14">
        <f t="shared" si="4"/>
        <v>0.18</v>
      </c>
      <c r="V6" s="10" t="str">
        <f>IF(U6&gt;'Шкалы оценки'!$B$21,"Высокий",IF(U6&gt;='Шкалы оценки'!$B$22,"Средний","Низкий"))</f>
        <v>Средний</v>
      </c>
      <c r="W6" s="10">
        <f>RANK(I6,$I$5:$I$23)+COUNTIF($I$5:I6,I6)-1</f>
        <v>4</v>
      </c>
    </row>
    <row r="7" spans="1:23" ht="63.75" customHeight="1" x14ac:dyDescent="0.45">
      <c r="A7" s="10">
        <v>3</v>
      </c>
      <c r="B7" s="11" t="str">
        <f t="shared" si="0"/>
        <v>R3</v>
      </c>
      <c r="C7" s="12" t="s">
        <v>40</v>
      </c>
      <c r="D7" s="10" t="s">
        <v>26</v>
      </c>
      <c r="E7" s="12" t="s">
        <v>41</v>
      </c>
      <c r="F7" s="12" t="s">
        <v>42</v>
      </c>
      <c r="G7" s="13">
        <v>0.7</v>
      </c>
      <c r="H7" s="13">
        <v>0.9</v>
      </c>
      <c r="I7" s="14">
        <f t="shared" si="1"/>
        <v>0.63</v>
      </c>
      <c r="J7" s="10" t="str">
        <f>IF(I7&gt;'Шкалы оценки'!$B$21,"Высокий",IF(I7&gt;='Шкалы оценки'!$B$22,"Средний","Низкий"))</f>
        <v>Высокий</v>
      </c>
      <c r="K7" s="10" t="s">
        <v>29</v>
      </c>
      <c r="L7" s="12" t="s">
        <v>43</v>
      </c>
      <c r="M7" s="12" t="s">
        <v>31</v>
      </c>
      <c r="N7" s="10" t="s">
        <v>44</v>
      </c>
      <c r="O7" s="15">
        <v>70000</v>
      </c>
      <c r="P7" s="16">
        <f t="shared" si="2"/>
        <v>49000</v>
      </c>
      <c r="Q7" s="15">
        <v>4000</v>
      </c>
      <c r="R7" s="12" t="str">
        <f t="shared" si="3"/>
        <v>Оправданы (затраты &lt; ожид. потерь)</v>
      </c>
      <c r="S7" s="13">
        <v>0.4</v>
      </c>
      <c r="T7" s="13">
        <v>0.6</v>
      </c>
      <c r="U7" s="14">
        <f t="shared" si="4"/>
        <v>0.24</v>
      </c>
      <c r="V7" s="10" t="str">
        <f>IF(U7&gt;'Шкалы оценки'!$B$21,"Высокий",IF(U7&gt;='Шкалы оценки'!$B$22,"Средний","Низкий"))</f>
        <v>Средний</v>
      </c>
      <c r="W7" s="10">
        <f>RANK(I7,$I$5:$I$23)+COUNTIF($I$5:I7,I7)-1</f>
        <v>1</v>
      </c>
    </row>
    <row r="8" spans="1:23" ht="63.75" customHeight="1" x14ac:dyDescent="0.45">
      <c r="A8" s="10">
        <v>4</v>
      </c>
      <c r="B8" s="11" t="str">
        <f t="shared" si="0"/>
        <v>R4</v>
      </c>
      <c r="C8" s="12" t="s">
        <v>45</v>
      </c>
      <c r="D8" s="10" t="s">
        <v>46</v>
      </c>
      <c r="E8" s="12" t="s">
        <v>47</v>
      </c>
      <c r="F8" s="12" t="s">
        <v>48</v>
      </c>
      <c r="G8" s="13">
        <v>0.8</v>
      </c>
      <c r="H8" s="13">
        <v>0.7</v>
      </c>
      <c r="I8" s="14">
        <f t="shared" si="1"/>
        <v>0.55999999999999994</v>
      </c>
      <c r="J8" s="10" t="str">
        <f>IF(I8&gt;'Шкалы оценки'!$B$21,"Высокий",IF(I8&gt;='Шкалы оценки'!$B$22,"Средний","Низкий"))</f>
        <v>Высокий</v>
      </c>
      <c r="K8" s="10" t="s">
        <v>29</v>
      </c>
      <c r="L8" s="12" t="s">
        <v>251</v>
      </c>
      <c r="M8" s="12" t="s">
        <v>49</v>
      </c>
      <c r="N8" s="10" t="s">
        <v>50</v>
      </c>
      <c r="O8" s="15">
        <v>40000</v>
      </c>
      <c r="P8" s="16">
        <f t="shared" si="2"/>
        <v>32000</v>
      </c>
      <c r="Q8" s="15">
        <v>3000</v>
      </c>
      <c r="R8" s="12" t="str">
        <f t="shared" si="3"/>
        <v>Оправданы (затраты &lt; ожид. потерь)</v>
      </c>
      <c r="S8" s="13">
        <v>0.4</v>
      </c>
      <c r="T8" s="13">
        <v>0.5</v>
      </c>
      <c r="U8" s="14">
        <f t="shared" si="4"/>
        <v>0.2</v>
      </c>
      <c r="V8" s="10" t="str">
        <f>IF(U8&gt;'Шкалы оценки'!$B$21,"Высокий",IF(U8&gt;='Шкалы оценки'!$B$22,"Средний","Низкий"))</f>
        <v>Средний</v>
      </c>
      <c r="W8" s="10">
        <f>RANK(I8,$I$5:$I$23)+COUNTIF($I$5:I8,I8)-1</f>
        <v>3</v>
      </c>
    </row>
    <row r="9" spans="1:23" ht="63.75" customHeight="1" x14ac:dyDescent="0.45">
      <c r="A9" s="10">
        <v>5</v>
      </c>
      <c r="B9" s="11" t="str">
        <f t="shared" si="0"/>
        <v>R5</v>
      </c>
      <c r="C9" s="12" t="s">
        <v>51</v>
      </c>
      <c r="D9" s="10" t="s">
        <v>26</v>
      </c>
      <c r="E9" s="12" t="s">
        <v>52</v>
      </c>
      <c r="F9" s="12" t="s">
        <v>53</v>
      </c>
      <c r="G9" s="13">
        <v>0.5</v>
      </c>
      <c r="H9" s="13">
        <v>0.8</v>
      </c>
      <c r="I9" s="14">
        <f t="shared" si="1"/>
        <v>0.4</v>
      </c>
      <c r="J9" s="10" t="str">
        <f>IF(I9&gt;'Шкалы оценки'!$B$21,"Высокий",IF(I9&gt;='Шкалы оценки'!$B$22,"Средний","Низкий"))</f>
        <v>Средний</v>
      </c>
      <c r="K9" s="10" t="s">
        <v>29</v>
      </c>
      <c r="L9" s="12" t="s">
        <v>54</v>
      </c>
      <c r="M9" s="12" t="s">
        <v>49</v>
      </c>
      <c r="N9" s="10" t="s">
        <v>55</v>
      </c>
      <c r="O9" s="15">
        <v>35000</v>
      </c>
      <c r="P9" s="16">
        <f t="shared" si="2"/>
        <v>17500</v>
      </c>
      <c r="Q9" s="15">
        <v>3000</v>
      </c>
      <c r="R9" s="12" t="str">
        <f t="shared" si="3"/>
        <v>Оправданы (затраты &lt; ожид. потерь)</v>
      </c>
      <c r="S9" s="13">
        <v>0.3</v>
      </c>
      <c r="T9" s="13">
        <v>0.7</v>
      </c>
      <c r="U9" s="14">
        <f t="shared" si="4"/>
        <v>0.21</v>
      </c>
      <c r="V9" s="10" t="str">
        <f>IF(U9&gt;'Шкалы оценки'!$B$21,"Высокий",IF(U9&gt;='Шкалы оценки'!$B$22,"Средний","Низкий"))</f>
        <v>Средний</v>
      </c>
      <c r="W9" s="10">
        <f>RANK(I9,$I$5:$I$23)+COUNTIF($I$5:I9,I9)-1</f>
        <v>5</v>
      </c>
    </row>
    <row r="10" spans="1:23" ht="63.75" customHeight="1" x14ac:dyDescent="0.45">
      <c r="A10" s="10">
        <v>6</v>
      </c>
      <c r="B10" s="11" t="str">
        <f t="shared" si="0"/>
        <v>R6</v>
      </c>
      <c r="C10" s="12" t="s">
        <v>56</v>
      </c>
      <c r="D10" s="10" t="s">
        <v>34</v>
      </c>
      <c r="E10" s="12" t="s">
        <v>57</v>
      </c>
      <c r="F10" s="12" t="s">
        <v>58</v>
      </c>
      <c r="G10" s="13">
        <v>0.6</v>
      </c>
      <c r="H10" s="13">
        <v>0.6</v>
      </c>
      <c r="I10" s="14">
        <f t="shared" si="1"/>
        <v>0.36</v>
      </c>
      <c r="J10" s="10" t="str">
        <f>IF(I10&gt;'Шкалы оценки'!$B$21,"Высокий",IF(I10&gt;='Шкалы оценки'!$B$22,"Средний","Низкий"))</f>
        <v>Средний</v>
      </c>
      <c r="K10" s="10" t="s">
        <v>29</v>
      </c>
      <c r="L10" s="12" t="s">
        <v>59</v>
      </c>
      <c r="M10" s="12" t="s">
        <v>60</v>
      </c>
      <c r="N10" s="10" t="s">
        <v>61</v>
      </c>
      <c r="O10" s="15">
        <v>20000</v>
      </c>
      <c r="P10" s="16">
        <f t="shared" si="2"/>
        <v>12000</v>
      </c>
      <c r="Q10" s="15">
        <v>4000</v>
      </c>
      <c r="R10" s="12" t="str">
        <f t="shared" si="3"/>
        <v>Оправданы (затраты &lt; ожид. потерь)</v>
      </c>
      <c r="S10" s="13">
        <v>0.4</v>
      </c>
      <c r="T10" s="13">
        <v>0.4</v>
      </c>
      <c r="U10" s="14">
        <f t="shared" si="4"/>
        <v>0.16000000000000003</v>
      </c>
      <c r="V10" s="10" t="str">
        <f>IF(U10&gt;'Шкалы оценки'!$B$21,"Высокий",IF(U10&gt;='Шкалы оценки'!$B$22,"Средний","Низкий"))</f>
        <v>Средний</v>
      </c>
      <c r="W10" s="10">
        <f>RANK(I10,$I$5:$I$23)+COUNTIF($I$5:I10,I10)-1</f>
        <v>6</v>
      </c>
    </row>
    <row r="11" spans="1:23" ht="63.75" customHeight="1" x14ac:dyDescent="0.45">
      <c r="A11" s="10">
        <v>7</v>
      </c>
      <c r="B11" s="11" t="str">
        <f t="shared" si="0"/>
        <v>R7</v>
      </c>
      <c r="C11" s="12" t="s">
        <v>62</v>
      </c>
      <c r="D11" s="10" t="s">
        <v>46</v>
      </c>
      <c r="E11" s="12" t="s">
        <v>63</v>
      </c>
      <c r="F11" s="12" t="s">
        <v>64</v>
      </c>
      <c r="G11" s="13">
        <v>0.4</v>
      </c>
      <c r="H11" s="13">
        <v>0.8</v>
      </c>
      <c r="I11" s="14">
        <f t="shared" si="1"/>
        <v>0.32000000000000006</v>
      </c>
      <c r="J11" s="10" t="str">
        <f>IF(I11&gt;'Шкалы оценки'!$B$21,"Высокий",IF(I11&gt;='Шкалы оценки'!$B$22,"Средний","Низкий"))</f>
        <v>Средний</v>
      </c>
      <c r="K11" s="10" t="s">
        <v>29</v>
      </c>
      <c r="L11" s="12" t="s">
        <v>65</v>
      </c>
      <c r="M11" s="12" t="s">
        <v>49</v>
      </c>
      <c r="N11" s="10" t="s">
        <v>50</v>
      </c>
      <c r="O11" s="15">
        <v>30000</v>
      </c>
      <c r="P11" s="16">
        <f t="shared" si="2"/>
        <v>12000</v>
      </c>
      <c r="Q11" s="15">
        <v>5000</v>
      </c>
      <c r="R11" s="12" t="str">
        <f t="shared" si="3"/>
        <v>Оправданы (затраты &lt; ожид. потерь)</v>
      </c>
      <c r="S11" s="13">
        <v>0.2</v>
      </c>
      <c r="T11" s="13">
        <v>0.5</v>
      </c>
      <c r="U11" s="14">
        <f t="shared" si="4"/>
        <v>0.1</v>
      </c>
      <c r="V11" s="10" t="str">
        <f>IF(U11&gt;'Шкалы оценки'!$B$21,"Высокий",IF(U11&gt;='Шкалы оценки'!$B$22,"Средний","Низкий"))</f>
        <v>Низкий</v>
      </c>
      <c r="W11" s="10">
        <f>RANK(I11,$I$5:$I$23)+COUNTIF($I$5:I11,I11)-1</f>
        <v>8</v>
      </c>
    </row>
    <row r="12" spans="1:23" ht="63.75" customHeight="1" x14ac:dyDescent="0.45">
      <c r="A12" s="10">
        <v>8</v>
      </c>
      <c r="B12" s="11" t="str">
        <f t="shared" si="0"/>
        <v>R8</v>
      </c>
      <c r="C12" s="12" t="s">
        <v>66</v>
      </c>
      <c r="D12" s="10" t="s">
        <v>67</v>
      </c>
      <c r="E12" s="12" t="s">
        <v>68</v>
      </c>
      <c r="F12" s="12" t="s">
        <v>69</v>
      </c>
      <c r="G12" s="13">
        <v>0.5</v>
      </c>
      <c r="H12" s="13">
        <v>0.6</v>
      </c>
      <c r="I12" s="14">
        <f t="shared" si="1"/>
        <v>0.3</v>
      </c>
      <c r="J12" s="10" t="str">
        <f>IF(I12&gt;'Шкалы оценки'!$B$21,"Высокий",IF(I12&gt;='Шкалы оценки'!$B$22,"Средний","Низкий"))</f>
        <v>Средний</v>
      </c>
      <c r="K12" s="10" t="s">
        <v>29</v>
      </c>
      <c r="L12" s="12" t="s">
        <v>70</v>
      </c>
      <c r="M12" s="12" t="s">
        <v>38</v>
      </c>
      <c r="N12" s="10" t="s">
        <v>71</v>
      </c>
      <c r="O12" s="15">
        <v>15000</v>
      </c>
      <c r="P12" s="16">
        <f t="shared" si="2"/>
        <v>7500</v>
      </c>
      <c r="Q12" s="15">
        <v>3000</v>
      </c>
      <c r="R12" s="12" t="str">
        <f t="shared" si="3"/>
        <v>Оправданы (затраты &lt; ожид. потерь)</v>
      </c>
      <c r="S12" s="13">
        <v>0.4</v>
      </c>
      <c r="T12" s="13">
        <v>0.4</v>
      </c>
      <c r="U12" s="14">
        <f t="shared" si="4"/>
        <v>0.16000000000000003</v>
      </c>
      <c r="V12" s="10" t="str">
        <f>IF(U12&gt;'Шкалы оценки'!$B$21,"Высокий",IF(U12&gt;='Шкалы оценки'!$B$22,"Средний","Низкий"))</f>
        <v>Средний</v>
      </c>
      <c r="W12" s="10">
        <f>RANK(I12,$I$5:$I$23)+COUNTIF($I$5:I12,I12)-1</f>
        <v>9</v>
      </c>
    </row>
    <row r="13" spans="1:23" ht="63.75" customHeight="1" x14ac:dyDescent="0.45">
      <c r="A13" s="10">
        <v>9</v>
      </c>
      <c r="B13" s="11" t="str">
        <f t="shared" si="0"/>
        <v>R9</v>
      </c>
      <c r="C13" s="12" t="s">
        <v>72</v>
      </c>
      <c r="D13" s="10" t="s">
        <v>67</v>
      </c>
      <c r="E13" s="12" t="s">
        <v>73</v>
      </c>
      <c r="F13" s="12" t="s">
        <v>74</v>
      </c>
      <c r="G13" s="13">
        <v>0.5</v>
      </c>
      <c r="H13" s="13">
        <v>0.7</v>
      </c>
      <c r="I13" s="14">
        <f t="shared" si="1"/>
        <v>0.35</v>
      </c>
      <c r="J13" s="10" t="str">
        <f>IF(I13&gt;'Шкалы оценки'!$B$21,"Высокий",IF(I13&gt;='Шкалы оценки'!$B$22,"Средний","Низкий"))</f>
        <v>Средний</v>
      </c>
      <c r="K13" s="10" t="s">
        <v>29</v>
      </c>
      <c r="L13" s="12" t="s">
        <v>75</v>
      </c>
      <c r="M13" s="12" t="s">
        <v>31</v>
      </c>
      <c r="N13" s="10" t="s">
        <v>76</v>
      </c>
      <c r="O13" s="15">
        <v>30000</v>
      </c>
      <c r="P13" s="16">
        <f t="shared" si="2"/>
        <v>15000</v>
      </c>
      <c r="Q13" s="15">
        <v>3000</v>
      </c>
      <c r="R13" s="12" t="str">
        <f t="shared" si="3"/>
        <v>Оправданы (затраты &lt; ожид. потерь)</v>
      </c>
      <c r="S13" s="13">
        <v>0.3</v>
      </c>
      <c r="T13" s="13">
        <v>0.5</v>
      </c>
      <c r="U13" s="14">
        <f t="shared" si="4"/>
        <v>0.15</v>
      </c>
      <c r="V13" s="10" t="str">
        <f>IF(U13&gt;'Шкалы оценки'!$B$21,"Высокий",IF(U13&gt;='Шкалы оценки'!$B$22,"Средний","Низкий"))</f>
        <v>Средний</v>
      </c>
      <c r="W13" s="10">
        <f>RANK(I13,$I$5:$I$23)+COUNTIF($I$5:I13,I13)-1</f>
        <v>7</v>
      </c>
    </row>
    <row r="14" spans="1:23" ht="63.75" customHeight="1" x14ac:dyDescent="0.45">
      <c r="A14" s="10">
        <v>10</v>
      </c>
      <c r="B14" s="11" t="str">
        <f t="shared" si="0"/>
        <v>R10</v>
      </c>
      <c r="C14" s="12" t="s">
        <v>77</v>
      </c>
      <c r="D14" s="10" t="s">
        <v>67</v>
      </c>
      <c r="E14" s="12" t="s">
        <v>78</v>
      </c>
      <c r="F14" s="12" t="s">
        <v>79</v>
      </c>
      <c r="G14" s="13">
        <v>0.4</v>
      </c>
      <c r="H14" s="13">
        <v>0.6</v>
      </c>
      <c r="I14" s="14">
        <f t="shared" si="1"/>
        <v>0.24</v>
      </c>
      <c r="J14" s="10" t="str">
        <f>IF(I14&gt;'Шкалы оценки'!$B$21,"Высокий",IF(I14&gt;='Шкалы оценки'!$B$22,"Средний","Низкий"))</f>
        <v>Средний</v>
      </c>
      <c r="K14" s="10" t="s">
        <v>80</v>
      </c>
      <c r="L14" s="12" t="s">
        <v>81</v>
      </c>
      <c r="M14" s="12" t="s">
        <v>49</v>
      </c>
      <c r="N14" s="10" t="s">
        <v>82</v>
      </c>
      <c r="O14" s="15">
        <v>25000</v>
      </c>
      <c r="P14" s="16">
        <f t="shared" si="2"/>
        <v>10000</v>
      </c>
      <c r="Q14" s="15">
        <v>500</v>
      </c>
      <c r="R14" s="12" t="str">
        <f t="shared" si="3"/>
        <v>Принятие: покрывается резервом</v>
      </c>
      <c r="S14" s="13">
        <v>0.5</v>
      </c>
      <c r="T14" s="13">
        <v>0.4</v>
      </c>
      <c r="U14" s="14">
        <f t="shared" si="4"/>
        <v>0.2</v>
      </c>
      <c r="V14" s="10" t="str">
        <f>IF(U14&gt;'Шкалы оценки'!$B$21,"Высокий",IF(U14&gt;='Шкалы оценки'!$B$22,"Средний","Низкий"))</f>
        <v>Средний</v>
      </c>
      <c r="W14" s="10">
        <f>RANK(I14,$I$5:$I$23)+COUNTIF($I$5:I14,I14)-1</f>
        <v>13</v>
      </c>
    </row>
    <row r="15" spans="1:23" ht="63.75" customHeight="1" x14ac:dyDescent="0.45">
      <c r="A15" s="10">
        <v>11</v>
      </c>
      <c r="B15" s="11" t="str">
        <f t="shared" si="0"/>
        <v>R11</v>
      </c>
      <c r="C15" s="12" t="s">
        <v>83</v>
      </c>
      <c r="D15" s="10" t="s">
        <v>84</v>
      </c>
      <c r="E15" s="12" t="s">
        <v>85</v>
      </c>
      <c r="F15" s="12" t="s">
        <v>86</v>
      </c>
      <c r="G15" s="13">
        <v>0.4</v>
      </c>
      <c r="H15" s="13">
        <v>0.7</v>
      </c>
      <c r="I15" s="14">
        <f t="shared" si="1"/>
        <v>0.27999999999999997</v>
      </c>
      <c r="J15" s="10" t="str">
        <f>IF(I15&gt;'Шкалы оценки'!$B$21,"Высокий",IF(I15&gt;='Шкалы оценки'!$B$22,"Средний","Низкий"))</f>
        <v>Средний</v>
      </c>
      <c r="K15" s="10" t="s">
        <v>87</v>
      </c>
      <c r="L15" s="12" t="s">
        <v>88</v>
      </c>
      <c r="M15" s="12" t="s">
        <v>89</v>
      </c>
      <c r="N15" s="10" t="s">
        <v>90</v>
      </c>
      <c r="O15" s="15">
        <v>30000</v>
      </c>
      <c r="P15" s="16">
        <f t="shared" si="2"/>
        <v>12000</v>
      </c>
      <c r="Q15" s="15">
        <v>2000</v>
      </c>
      <c r="R15" s="12" t="str">
        <f t="shared" si="3"/>
        <v>Оправданы (затраты &lt; ожид. потерь)</v>
      </c>
      <c r="S15" s="13">
        <v>0.1</v>
      </c>
      <c r="T15" s="13">
        <v>0.7</v>
      </c>
      <c r="U15" s="14">
        <f t="shared" si="4"/>
        <v>6.9999999999999993E-2</v>
      </c>
      <c r="V15" s="10" t="str">
        <f>IF(U15&gt;'Шкалы оценки'!$B$21,"Высокий",IF(U15&gt;='Шкалы оценки'!$B$22,"Средний","Низкий"))</f>
        <v>Низкий</v>
      </c>
      <c r="W15" s="10">
        <f>RANK(I15,$I$5:$I$23)+COUNTIF($I$5:I15,I15)-1</f>
        <v>10</v>
      </c>
    </row>
    <row r="16" spans="1:23" ht="63.75" customHeight="1" x14ac:dyDescent="0.45">
      <c r="A16" s="10">
        <v>12</v>
      </c>
      <c r="B16" s="11" t="str">
        <f t="shared" si="0"/>
        <v>R12</v>
      </c>
      <c r="C16" s="12" t="s">
        <v>91</v>
      </c>
      <c r="D16" s="10" t="s">
        <v>46</v>
      </c>
      <c r="E16" s="12" t="s">
        <v>92</v>
      </c>
      <c r="F16" s="12" t="s">
        <v>93</v>
      </c>
      <c r="G16" s="13">
        <v>0.3</v>
      </c>
      <c r="H16" s="13">
        <v>0.8</v>
      </c>
      <c r="I16" s="14">
        <f t="shared" si="1"/>
        <v>0.24</v>
      </c>
      <c r="J16" s="10" t="str">
        <f>IF(I16&gt;'Шкалы оценки'!$B$21,"Высокий",IF(I16&gt;='Шкалы оценки'!$B$22,"Средний","Низкий"))</f>
        <v>Средний</v>
      </c>
      <c r="K16" s="10" t="s">
        <v>29</v>
      </c>
      <c r="L16" s="12" t="s">
        <v>94</v>
      </c>
      <c r="M16" s="12" t="s">
        <v>49</v>
      </c>
      <c r="N16" s="10" t="s">
        <v>95</v>
      </c>
      <c r="O16" s="15">
        <v>35000</v>
      </c>
      <c r="P16" s="16">
        <f t="shared" si="2"/>
        <v>10500</v>
      </c>
      <c r="Q16" s="15">
        <v>2000</v>
      </c>
      <c r="R16" s="12" t="str">
        <f t="shared" si="3"/>
        <v>Оправданы (затраты &lt; ожид. потерь)</v>
      </c>
      <c r="S16" s="13">
        <v>0.2</v>
      </c>
      <c r="T16" s="13">
        <v>0.6</v>
      </c>
      <c r="U16" s="14">
        <f t="shared" si="4"/>
        <v>0.12</v>
      </c>
      <c r="V16" s="10" t="str">
        <f>IF(U16&gt;'Шкалы оценки'!$B$21,"Высокий",IF(U16&gt;='Шкалы оценки'!$B$22,"Средний","Низкий"))</f>
        <v>Низкий</v>
      </c>
      <c r="W16" s="10">
        <f>RANK(I16,$I$5:$I$23)+COUNTIF($I$5:I16,I16)-1</f>
        <v>14</v>
      </c>
    </row>
    <row r="17" spans="1:23" ht="63.75" customHeight="1" x14ac:dyDescent="0.45">
      <c r="A17" s="10">
        <v>13</v>
      </c>
      <c r="B17" s="11" t="str">
        <f t="shared" si="0"/>
        <v>R13</v>
      </c>
      <c r="C17" s="12" t="s">
        <v>96</v>
      </c>
      <c r="D17" s="10" t="s">
        <v>84</v>
      </c>
      <c r="E17" s="12" t="s">
        <v>97</v>
      </c>
      <c r="F17" s="12" t="s">
        <v>98</v>
      </c>
      <c r="G17" s="13">
        <v>0.3</v>
      </c>
      <c r="H17" s="13">
        <v>0.9</v>
      </c>
      <c r="I17" s="14">
        <f t="shared" si="1"/>
        <v>0.27</v>
      </c>
      <c r="J17" s="10" t="str">
        <f>IF(I17&gt;'Шкалы оценки'!$B$21,"Высокий",IF(I17&gt;='Шкалы оценки'!$B$22,"Средний","Низкий"))</f>
        <v>Средний</v>
      </c>
      <c r="K17" s="10" t="s">
        <v>87</v>
      </c>
      <c r="L17" s="12" t="s">
        <v>99</v>
      </c>
      <c r="M17" s="12" t="s">
        <v>100</v>
      </c>
      <c r="N17" s="10" t="s">
        <v>101</v>
      </c>
      <c r="O17" s="15">
        <v>80000</v>
      </c>
      <c r="P17" s="16">
        <f t="shared" si="2"/>
        <v>24000</v>
      </c>
      <c r="Q17" s="15">
        <v>4000</v>
      </c>
      <c r="R17" s="12" t="str">
        <f t="shared" si="3"/>
        <v>Оправданы (затраты &lt; ожид. потерь)</v>
      </c>
      <c r="S17" s="13">
        <v>0.1</v>
      </c>
      <c r="T17" s="13">
        <v>0.9</v>
      </c>
      <c r="U17" s="14">
        <f t="shared" si="4"/>
        <v>9.0000000000000011E-2</v>
      </c>
      <c r="V17" s="10" t="str">
        <f>IF(U17&gt;'Шкалы оценки'!$B$21,"Высокий",IF(U17&gt;='Шкалы оценки'!$B$22,"Средний","Низкий"))</f>
        <v>Низкий</v>
      </c>
      <c r="W17" s="10">
        <f>RANK(I17,$I$5:$I$23)+COUNTIF($I$5:I17,I17)-1</f>
        <v>11</v>
      </c>
    </row>
    <row r="18" spans="1:23" ht="63.75" customHeight="1" x14ac:dyDescent="0.45">
      <c r="A18" s="10">
        <v>14</v>
      </c>
      <c r="B18" s="11" t="str">
        <f t="shared" si="0"/>
        <v>R14</v>
      </c>
      <c r="C18" s="12" t="s">
        <v>102</v>
      </c>
      <c r="D18" s="10" t="s">
        <v>103</v>
      </c>
      <c r="E18" s="12" t="s">
        <v>104</v>
      </c>
      <c r="F18" s="12" t="s">
        <v>105</v>
      </c>
      <c r="G18" s="13">
        <v>0.5</v>
      </c>
      <c r="H18" s="13">
        <v>0.5</v>
      </c>
      <c r="I18" s="14">
        <f t="shared" si="1"/>
        <v>0.25</v>
      </c>
      <c r="J18" s="10" t="str">
        <f>IF(I18&gt;'Шкалы оценки'!$B$21,"Высокий",IF(I18&gt;='Шкалы оценки'!$B$22,"Средний","Низкий"))</f>
        <v>Средний</v>
      </c>
      <c r="K18" s="10" t="s">
        <v>29</v>
      </c>
      <c r="L18" s="12" t="s">
        <v>106</v>
      </c>
      <c r="M18" s="12" t="s">
        <v>107</v>
      </c>
      <c r="N18" s="10" t="s">
        <v>108</v>
      </c>
      <c r="O18" s="15">
        <v>15000</v>
      </c>
      <c r="P18" s="16">
        <f t="shared" si="2"/>
        <v>7500</v>
      </c>
      <c r="Q18" s="15">
        <v>2000</v>
      </c>
      <c r="R18" s="12" t="str">
        <f t="shared" si="3"/>
        <v>Оправданы (затраты &lt; ожид. потерь)</v>
      </c>
      <c r="S18" s="13">
        <v>0.3</v>
      </c>
      <c r="T18" s="13">
        <v>0.4</v>
      </c>
      <c r="U18" s="14">
        <f t="shared" si="4"/>
        <v>0.12</v>
      </c>
      <c r="V18" s="10" t="str">
        <f>IF(U18&gt;'Шкалы оценки'!$B$21,"Высокий",IF(U18&gt;='Шкалы оценки'!$B$22,"Средний","Низкий"))</f>
        <v>Низкий</v>
      </c>
      <c r="W18" s="10">
        <f>RANK(I18,$I$5:$I$23)+COUNTIF($I$5:I18,I18)-1</f>
        <v>12</v>
      </c>
    </row>
    <row r="19" spans="1:23" ht="63.75" customHeight="1" x14ac:dyDescent="0.45">
      <c r="A19" s="10">
        <v>15</v>
      </c>
      <c r="B19" s="11" t="str">
        <f t="shared" si="0"/>
        <v>R15</v>
      </c>
      <c r="C19" s="12" t="s">
        <v>109</v>
      </c>
      <c r="D19" s="10" t="s">
        <v>46</v>
      </c>
      <c r="E19" s="12" t="s">
        <v>110</v>
      </c>
      <c r="F19" s="12" t="s">
        <v>111</v>
      </c>
      <c r="G19" s="13">
        <v>0.6</v>
      </c>
      <c r="H19" s="13">
        <v>0.4</v>
      </c>
      <c r="I19" s="14">
        <f t="shared" si="1"/>
        <v>0.24</v>
      </c>
      <c r="J19" s="10" t="str">
        <f>IF(I19&gt;'Шкалы оценки'!$B$21,"Высокий",IF(I19&gt;='Шкалы оценки'!$B$22,"Средний","Низкий"))</f>
        <v>Средний</v>
      </c>
      <c r="K19" s="10" t="s">
        <v>87</v>
      </c>
      <c r="L19" s="12" t="s">
        <v>112</v>
      </c>
      <c r="M19" s="12" t="s">
        <v>31</v>
      </c>
      <c r="N19" s="10" t="s">
        <v>113</v>
      </c>
      <c r="O19" s="15">
        <v>12000</v>
      </c>
      <c r="P19" s="16">
        <f t="shared" si="2"/>
        <v>7200</v>
      </c>
      <c r="Q19" s="15">
        <v>500</v>
      </c>
      <c r="R19" s="12" t="str">
        <f t="shared" si="3"/>
        <v>Оправданы (затраты &lt; ожид. потерь)</v>
      </c>
      <c r="S19" s="13">
        <v>0.2</v>
      </c>
      <c r="T19" s="13">
        <v>0.5</v>
      </c>
      <c r="U19" s="14">
        <f t="shared" si="4"/>
        <v>0.1</v>
      </c>
      <c r="V19" s="10" t="str">
        <f>IF(U19&gt;'Шкалы оценки'!$B$21,"Высокий",IF(U19&gt;='Шкалы оценки'!$B$22,"Средний","Низкий"))</f>
        <v>Низкий</v>
      </c>
      <c r="W19" s="10">
        <f>RANK(I19,$I$5:$I$23)+COUNTIF($I$5:I19,I19)-1</f>
        <v>15</v>
      </c>
    </row>
    <row r="20" spans="1:23" ht="63.75" customHeight="1" x14ac:dyDescent="0.45">
      <c r="A20" s="10">
        <v>16</v>
      </c>
      <c r="B20" s="11" t="str">
        <f t="shared" si="0"/>
        <v>R16</v>
      </c>
      <c r="C20" s="12" t="s">
        <v>114</v>
      </c>
      <c r="D20" s="10" t="s">
        <v>115</v>
      </c>
      <c r="E20" s="12" t="s">
        <v>116</v>
      </c>
      <c r="F20" s="12" t="s">
        <v>117</v>
      </c>
      <c r="G20" s="13">
        <v>0.2</v>
      </c>
      <c r="H20" s="13">
        <v>1</v>
      </c>
      <c r="I20" s="14">
        <f t="shared" si="1"/>
        <v>0.2</v>
      </c>
      <c r="J20" s="10" t="str">
        <f>IF(I20&gt;'Шкалы оценки'!$B$21,"Высокий",IF(I20&gt;='Шкалы оценки'!$B$22,"Средний","Низкий"))</f>
        <v>Средний</v>
      </c>
      <c r="K20" s="10" t="s">
        <v>118</v>
      </c>
      <c r="L20" s="12" t="s">
        <v>119</v>
      </c>
      <c r="M20" s="12" t="s">
        <v>89</v>
      </c>
      <c r="N20" s="10" t="s">
        <v>120</v>
      </c>
      <c r="O20" s="15">
        <v>100000</v>
      </c>
      <c r="P20" s="16">
        <f t="shared" si="2"/>
        <v>20000</v>
      </c>
      <c r="Q20" s="15">
        <v>6000</v>
      </c>
      <c r="R20" s="12" t="str">
        <f t="shared" si="3"/>
        <v>Оправданы (затраты &lt; ожид. потерь)</v>
      </c>
      <c r="S20" s="13">
        <v>0.1</v>
      </c>
      <c r="T20" s="13">
        <v>0.9</v>
      </c>
      <c r="U20" s="14">
        <f t="shared" si="4"/>
        <v>9.0000000000000011E-2</v>
      </c>
      <c r="V20" s="10" t="str">
        <f>IF(U20&gt;'Шкалы оценки'!$B$21,"Высокий",IF(U20&gt;='Шкалы оценки'!$B$22,"Средний","Низкий"))</f>
        <v>Низкий</v>
      </c>
      <c r="W20" s="10">
        <f>RANK(I20,$I$5:$I$23)+COUNTIF($I$5:I20,I20)-1</f>
        <v>16</v>
      </c>
    </row>
    <row r="21" spans="1:23" ht="63.75" customHeight="1" x14ac:dyDescent="0.45">
      <c r="A21" s="10">
        <v>17</v>
      </c>
      <c r="B21" s="11" t="str">
        <f t="shared" si="0"/>
        <v>R17</v>
      </c>
      <c r="C21" s="12" t="s">
        <v>121</v>
      </c>
      <c r="D21" s="10" t="s">
        <v>115</v>
      </c>
      <c r="E21" s="12" t="s">
        <v>122</v>
      </c>
      <c r="F21" s="12" t="s">
        <v>123</v>
      </c>
      <c r="G21" s="13">
        <v>0.2</v>
      </c>
      <c r="H21" s="13">
        <v>0.6</v>
      </c>
      <c r="I21" s="14">
        <f t="shared" si="1"/>
        <v>0.12</v>
      </c>
      <c r="J21" s="10" t="str">
        <f>IF(I21&gt;'Шкалы оценки'!$B$21,"Высокий",IF(I21&gt;='Шкалы оценки'!$B$22,"Средний","Низкий"))</f>
        <v>Низкий</v>
      </c>
      <c r="K21" s="10" t="s">
        <v>29</v>
      </c>
      <c r="L21" s="12" t="s">
        <v>124</v>
      </c>
      <c r="M21" s="12" t="s">
        <v>38</v>
      </c>
      <c r="N21" s="10" t="s">
        <v>125</v>
      </c>
      <c r="O21" s="15">
        <v>15000</v>
      </c>
      <c r="P21" s="16">
        <f t="shared" si="2"/>
        <v>3000</v>
      </c>
      <c r="Q21" s="15">
        <v>2000</v>
      </c>
      <c r="R21" s="12" t="str">
        <f t="shared" si="3"/>
        <v>Оправданы (затраты &lt; ожид. потерь)</v>
      </c>
      <c r="S21" s="13">
        <v>0.1</v>
      </c>
      <c r="T21" s="13">
        <v>0.5</v>
      </c>
      <c r="U21" s="14">
        <f t="shared" si="4"/>
        <v>0.05</v>
      </c>
      <c r="V21" s="10" t="str">
        <f>IF(U21&gt;'Шкалы оценки'!$B$21,"Высокий",IF(U21&gt;='Шкалы оценки'!$B$22,"Средний","Низкий"))</f>
        <v>Низкий</v>
      </c>
      <c r="W21" s="10">
        <f>RANK(I21,$I$5:$I$23)+COUNTIF($I$5:I21,I21)-1</f>
        <v>18</v>
      </c>
    </row>
    <row r="22" spans="1:23" ht="63.75" customHeight="1" x14ac:dyDescent="0.45">
      <c r="A22" s="10">
        <v>18</v>
      </c>
      <c r="B22" s="11" t="str">
        <f t="shared" si="0"/>
        <v>R18</v>
      </c>
      <c r="C22" s="12" t="s">
        <v>126</v>
      </c>
      <c r="D22" s="10" t="s">
        <v>34</v>
      </c>
      <c r="E22" s="12" t="s">
        <v>127</v>
      </c>
      <c r="F22" s="12" t="s">
        <v>128</v>
      </c>
      <c r="G22" s="13">
        <v>0.4</v>
      </c>
      <c r="H22" s="13">
        <v>0.5</v>
      </c>
      <c r="I22" s="14">
        <f t="shared" si="1"/>
        <v>0.2</v>
      </c>
      <c r="J22" s="10" t="str">
        <f>IF(I22&gt;'Шкалы оценки'!$B$21,"Высокий",IF(I22&gt;='Шкалы оценки'!$B$22,"Средний","Низкий"))</f>
        <v>Средний</v>
      </c>
      <c r="K22" s="10" t="s">
        <v>29</v>
      </c>
      <c r="L22" s="12" t="s">
        <v>129</v>
      </c>
      <c r="M22" s="12" t="s">
        <v>89</v>
      </c>
      <c r="N22" s="10" t="s">
        <v>130</v>
      </c>
      <c r="O22" s="15">
        <v>20000</v>
      </c>
      <c r="P22" s="16">
        <f t="shared" si="2"/>
        <v>8000</v>
      </c>
      <c r="Q22" s="15">
        <v>2000</v>
      </c>
      <c r="R22" s="12" t="str">
        <f t="shared" si="3"/>
        <v>Оправданы (затраты &lt; ожид. потерь)</v>
      </c>
      <c r="S22" s="13">
        <v>0.2</v>
      </c>
      <c r="T22" s="13">
        <v>0.4</v>
      </c>
      <c r="U22" s="14">
        <f t="shared" si="4"/>
        <v>8.0000000000000016E-2</v>
      </c>
      <c r="V22" s="10" t="str">
        <f>IF(U22&gt;'Шкалы оценки'!$B$21,"Высокий",IF(U22&gt;='Шкалы оценки'!$B$22,"Средний","Низкий"))</f>
        <v>Низкий</v>
      </c>
      <c r="W22" s="10">
        <f>RANK(I22,$I$5:$I$23)+COUNTIF($I$5:I22,I22)-1</f>
        <v>17</v>
      </c>
    </row>
    <row r="23" spans="1:23" ht="63.75" customHeight="1" x14ac:dyDescent="0.45">
      <c r="A23" s="10">
        <v>19</v>
      </c>
      <c r="B23" s="11" t="str">
        <f t="shared" si="0"/>
        <v>R19</v>
      </c>
      <c r="C23" s="12" t="s">
        <v>131</v>
      </c>
      <c r="D23" s="10" t="s">
        <v>34</v>
      </c>
      <c r="E23" s="12" t="s">
        <v>132</v>
      </c>
      <c r="F23" s="12" t="s">
        <v>133</v>
      </c>
      <c r="G23" s="13">
        <v>0.4</v>
      </c>
      <c r="H23" s="13">
        <v>0.3</v>
      </c>
      <c r="I23" s="14">
        <f t="shared" si="1"/>
        <v>0.12</v>
      </c>
      <c r="J23" s="10" t="str">
        <f>IF(I23&gt;'Шкалы оценки'!$B$21,"Высокий",IF(I23&gt;='Шкалы оценки'!$B$22,"Средний","Низкий"))</f>
        <v>Низкий</v>
      </c>
      <c r="K23" s="10" t="s">
        <v>80</v>
      </c>
      <c r="L23" s="12" t="s">
        <v>134</v>
      </c>
      <c r="M23" s="12" t="s">
        <v>38</v>
      </c>
      <c r="N23" s="10" t="s">
        <v>71</v>
      </c>
      <c r="O23" s="15">
        <v>6000</v>
      </c>
      <c r="P23" s="16">
        <f t="shared" si="2"/>
        <v>2400</v>
      </c>
      <c r="Q23" s="15">
        <v>1500</v>
      </c>
      <c r="R23" s="12" t="str">
        <f t="shared" si="3"/>
        <v>Принятие: покрывается резервом</v>
      </c>
      <c r="S23" s="13">
        <v>0.4</v>
      </c>
      <c r="T23" s="13">
        <v>0.2</v>
      </c>
      <c r="U23" s="14">
        <f t="shared" si="4"/>
        <v>8.0000000000000016E-2</v>
      </c>
      <c r="V23" s="10" t="str">
        <f>IF(U23&gt;'Шкалы оценки'!$B$21,"Высокий",IF(U23&gt;='Шкалы оценки'!$B$22,"Средний","Низкий"))</f>
        <v>Низкий</v>
      </c>
      <c r="W23" s="10">
        <f>RANK(I23,$I$5:$I$23)+COUNTIF($I$5:I23,I23)-1</f>
        <v>19</v>
      </c>
    </row>
    <row r="24" spans="1:23" x14ac:dyDescent="0.45">
      <c r="C24" s="17" t="s">
        <v>135</v>
      </c>
      <c r="P24" s="18">
        <f>SUM(P5:P23)</f>
        <v>323100</v>
      </c>
      <c r="Q24" s="18">
        <f>SUM(Q5:Q23)</f>
        <v>60500</v>
      </c>
    </row>
    <row r="25" spans="1:23" x14ac:dyDescent="0.45">
      <c r="C25" s="19" t="s">
        <v>136</v>
      </c>
    </row>
    <row r="26" spans="1:23" x14ac:dyDescent="0.45">
      <c r="C26" s="20" t="s">
        <v>137</v>
      </c>
      <c r="D26" s="11">
        <f>COUNTIF(J5:J23,"Высокий")</f>
        <v>4</v>
      </c>
    </row>
    <row r="27" spans="1:23" x14ac:dyDescent="0.45">
      <c r="C27" s="20" t="s">
        <v>138</v>
      </c>
      <c r="D27" s="11">
        <f>COUNTIF(J5:J23,"Средний")</f>
        <v>13</v>
      </c>
    </row>
    <row r="28" spans="1:23" x14ac:dyDescent="0.45">
      <c r="C28" s="20" t="s">
        <v>139</v>
      </c>
      <c r="D28" s="11">
        <f>COUNTIF(J5:J23,"Низкий")</f>
        <v>2</v>
      </c>
    </row>
    <row r="29" spans="1:23" x14ac:dyDescent="0.45">
      <c r="C29" s="20" t="s">
        <v>140</v>
      </c>
      <c r="D29" s="21">
        <f>AVERAGE(I5:I23)</f>
        <v>0.32526315789473692</v>
      </c>
    </row>
    <row r="30" spans="1:23" x14ac:dyDescent="0.45">
      <c r="C30" s="20" t="s">
        <v>141</v>
      </c>
      <c r="D30" s="21">
        <f>AVERAGE(U5:U23)</f>
        <v>0.14210526315789473</v>
      </c>
    </row>
    <row r="31" spans="1:23" x14ac:dyDescent="0.45">
      <c r="C31" s="20" t="s">
        <v>142</v>
      </c>
      <c r="D31" s="22">
        <f>1-SUM(U5:U23)/SUM(I5:I23)</f>
        <v>0.56310679611650494</v>
      </c>
    </row>
    <row r="32" spans="1:23" x14ac:dyDescent="0.45">
      <c r="C32" s="20" t="s">
        <v>143</v>
      </c>
      <c r="D32" s="23">
        <f>Q24</f>
        <v>60500</v>
      </c>
    </row>
    <row r="33" spans="2:7" x14ac:dyDescent="0.45">
      <c r="C33" s="20" t="s">
        <v>144</v>
      </c>
      <c r="D33" s="24">
        <v>47000</v>
      </c>
    </row>
    <row r="34" spans="2:7" x14ac:dyDescent="0.45">
      <c r="C34" s="20" t="s">
        <v>145</v>
      </c>
      <c r="D34" s="23">
        <f>SUMIF(K5:K23,"Принятие",P5:P23)</f>
        <v>12400</v>
      </c>
    </row>
    <row r="35" spans="2:7" x14ac:dyDescent="0.45">
      <c r="C35" s="20" t="s">
        <v>146</v>
      </c>
      <c r="D35" s="11" t="str">
        <f>IF(D34&lt;=D33,"ДА","НЕТ")</f>
        <v>ДА</v>
      </c>
    </row>
    <row r="37" spans="2:7" x14ac:dyDescent="0.45">
      <c r="C37" s="19" t="s">
        <v>147</v>
      </c>
    </row>
    <row r="38" spans="2:7" ht="26.25" x14ac:dyDescent="0.45">
      <c r="B38" s="9" t="s">
        <v>148</v>
      </c>
      <c r="C38" s="9" t="s">
        <v>149</v>
      </c>
      <c r="D38" s="9" t="s">
        <v>150</v>
      </c>
      <c r="E38" s="9" t="s">
        <v>7</v>
      </c>
      <c r="F38" s="9" t="s">
        <v>151</v>
      </c>
      <c r="G38" s="9" t="s">
        <v>152</v>
      </c>
    </row>
    <row r="39" spans="2:7" ht="39.75" customHeight="1" x14ac:dyDescent="0.45">
      <c r="B39" s="10" t="s">
        <v>153</v>
      </c>
      <c r="C39" s="12" t="s">
        <v>154</v>
      </c>
      <c r="D39" s="12" t="s">
        <v>155</v>
      </c>
      <c r="E39" s="12" t="s">
        <v>156</v>
      </c>
      <c r="F39" s="14">
        <v>0.4</v>
      </c>
      <c r="G39" s="12" t="s">
        <v>157</v>
      </c>
    </row>
    <row r="40" spans="2:7" ht="39.75" customHeight="1" x14ac:dyDescent="0.45">
      <c r="B40" s="10" t="s">
        <v>158</v>
      </c>
      <c r="C40" s="12" t="s">
        <v>159</v>
      </c>
      <c r="D40" s="12" t="s">
        <v>160</v>
      </c>
      <c r="E40" s="12" t="s">
        <v>161</v>
      </c>
      <c r="F40" s="14">
        <v>0.3</v>
      </c>
      <c r="G40" s="12" t="s">
        <v>162</v>
      </c>
    </row>
    <row r="41" spans="2:7" ht="39.75" customHeight="1" x14ac:dyDescent="0.45">
      <c r="B41" s="10" t="s">
        <v>163</v>
      </c>
      <c r="C41" s="12" t="s">
        <v>164</v>
      </c>
      <c r="D41" s="12" t="s">
        <v>165</v>
      </c>
      <c r="E41" s="12" t="s">
        <v>166</v>
      </c>
      <c r="F41" s="14">
        <v>0.6</v>
      </c>
      <c r="G41" s="12" t="s">
        <v>167</v>
      </c>
    </row>
  </sheetData>
  <autoFilter ref="A4:W23" xr:uid="{00000000-0009-0000-0000-000000000000}"/>
  <conditionalFormatting sqref="J5:J23">
    <cfRule type="cellIs" dxfId="5" priority="2" operator="equal">
      <formula>"Высокий"</formula>
    </cfRule>
    <cfRule type="cellIs" dxfId="4" priority="3" operator="equal">
      <formula>"Средний"</formula>
    </cfRule>
    <cfRule type="cellIs" dxfId="3" priority="4" operator="equal">
      <formula>"Низкий"</formula>
    </cfRule>
  </conditionalFormatting>
  <conditionalFormatting sqref="V5:V23">
    <cfRule type="cellIs" dxfId="2" priority="5" operator="equal">
      <formula>"Высокий"</formula>
    </cfRule>
    <cfRule type="cellIs" dxfId="1" priority="6" operator="equal">
      <formula>"Средний"</formula>
    </cfRule>
    <cfRule type="cellIs" dxfId="0" priority="7" operator="equal">
      <formula>"Низкий"</formula>
    </cfRule>
  </conditionalFormatting>
  <dataValidations count="1">
    <dataValidation type="list" sqref="K5:K23" xr:uid="{00000000-0002-0000-0000-000000000000}">
      <formula1>"Уклонение,Снижение,Передача,Принятие,Снижение + передача"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26"/>
  <sheetViews>
    <sheetView showGridLines="0" zoomScaleNormal="100" workbookViewId="0"/>
  </sheetViews>
  <sheetFormatPr defaultColWidth="8.6640625" defaultRowHeight="14.25" x14ac:dyDescent="0.45"/>
  <cols>
    <col min="1" max="1" width="12" customWidth="1"/>
    <col min="2" max="2" width="16" customWidth="1"/>
    <col min="3" max="3" width="32" customWidth="1"/>
    <col min="4" max="4" width="22" customWidth="1"/>
    <col min="5" max="5" width="30" customWidth="1"/>
    <col min="6" max="6" width="34" customWidth="1"/>
  </cols>
  <sheetData>
    <row r="1" spans="1:6" ht="17.649999999999999" x14ac:dyDescent="0.5">
      <c r="A1" s="7" t="s">
        <v>168</v>
      </c>
    </row>
    <row r="3" spans="1:6" x14ac:dyDescent="0.45">
      <c r="A3" s="17" t="s">
        <v>169</v>
      </c>
    </row>
    <row r="4" spans="1:6" ht="26.25" x14ac:dyDescent="0.45">
      <c r="A4" s="9" t="s">
        <v>170</v>
      </c>
      <c r="B4" s="9" t="s">
        <v>171</v>
      </c>
      <c r="C4" s="9" t="s">
        <v>172</v>
      </c>
      <c r="D4" s="9" t="s">
        <v>173</v>
      </c>
    </row>
    <row r="5" spans="1:6" ht="27.75" customHeight="1" x14ac:dyDescent="0.45">
      <c r="A5" s="10" t="s">
        <v>174</v>
      </c>
      <c r="B5" s="10" t="s">
        <v>175</v>
      </c>
      <c r="C5" s="12" t="s">
        <v>176</v>
      </c>
      <c r="D5" s="10" t="s">
        <v>177</v>
      </c>
    </row>
    <row r="6" spans="1:6" ht="27.75" customHeight="1" x14ac:dyDescent="0.45">
      <c r="A6" s="10" t="s">
        <v>178</v>
      </c>
      <c r="B6" s="10" t="s">
        <v>179</v>
      </c>
      <c r="C6" s="12" t="s">
        <v>180</v>
      </c>
      <c r="D6" s="10" t="s">
        <v>181</v>
      </c>
    </row>
    <row r="7" spans="1:6" ht="27.75" customHeight="1" x14ac:dyDescent="0.45">
      <c r="A7" s="10" t="s">
        <v>182</v>
      </c>
      <c r="B7" s="10" t="s">
        <v>183</v>
      </c>
      <c r="C7" s="12" t="s">
        <v>184</v>
      </c>
      <c r="D7" s="10" t="s">
        <v>185</v>
      </c>
    </row>
    <row r="8" spans="1:6" ht="27.75" customHeight="1" x14ac:dyDescent="0.45">
      <c r="A8" s="10" t="s">
        <v>186</v>
      </c>
      <c r="B8" s="10" t="s">
        <v>187</v>
      </c>
      <c r="C8" s="12" t="s">
        <v>188</v>
      </c>
      <c r="D8" s="10" t="s">
        <v>189</v>
      </c>
    </row>
    <row r="9" spans="1:6" ht="27.75" customHeight="1" x14ac:dyDescent="0.45">
      <c r="A9" s="10" t="s">
        <v>190</v>
      </c>
      <c r="B9" s="10" t="s">
        <v>191</v>
      </c>
      <c r="C9" s="12" t="s">
        <v>192</v>
      </c>
      <c r="D9" s="10" t="s">
        <v>193</v>
      </c>
    </row>
    <row r="10" spans="1:6" ht="27.75" customHeight="1" x14ac:dyDescent="0.45"/>
    <row r="11" spans="1:6" ht="27.75" customHeight="1" x14ac:dyDescent="0.45">
      <c r="A11" s="17" t="s">
        <v>194</v>
      </c>
    </row>
    <row r="12" spans="1:6" ht="27.75" customHeight="1" x14ac:dyDescent="0.45">
      <c r="A12" s="9" t="s">
        <v>195</v>
      </c>
      <c r="B12" s="9" t="s">
        <v>171</v>
      </c>
      <c r="C12" s="9" t="s">
        <v>196</v>
      </c>
      <c r="D12" s="9" t="s">
        <v>197</v>
      </c>
      <c r="E12" s="9" t="s">
        <v>198</v>
      </c>
      <c r="F12" s="9" t="s">
        <v>199</v>
      </c>
    </row>
    <row r="13" spans="1:6" ht="27.75" customHeight="1" x14ac:dyDescent="0.45">
      <c r="A13" s="10" t="s">
        <v>174</v>
      </c>
      <c r="B13" s="10" t="s">
        <v>200</v>
      </c>
      <c r="C13" s="12" t="s">
        <v>201</v>
      </c>
      <c r="D13" s="12" t="s">
        <v>202</v>
      </c>
      <c r="E13" s="12" t="s">
        <v>203</v>
      </c>
      <c r="F13" s="12" t="s">
        <v>204</v>
      </c>
    </row>
    <row r="14" spans="1:6" ht="27.75" customHeight="1" x14ac:dyDescent="0.45">
      <c r="A14" s="10" t="s">
        <v>205</v>
      </c>
      <c r="B14" s="10" t="s">
        <v>206</v>
      </c>
      <c r="C14" s="12" t="s">
        <v>207</v>
      </c>
      <c r="D14" s="12" t="s">
        <v>208</v>
      </c>
      <c r="E14" s="12" t="s">
        <v>209</v>
      </c>
      <c r="F14" s="12" t="s">
        <v>210</v>
      </c>
    </row>
    <row r="15" spans="1:6" ht="27.75" customHeight="1" x14ac:dyDescent="0.45">
      <c r="A15" s="10" t="s">
        <v>211</v>
      </c>
      <c r="B15" s="10" t="s">
        <v>212</v>
      </c>
      <c r="C15" s="12" t="s">
        <v>213</v>
      </c>
      <c r="D15" s="12" t="s">
        <v>214</v>
      </c>
      <c r="E15" s="12" t="s">
        <v>215</v>
      </c>
      <c r="F15" s="12" t="s">
        <v>216</v>
      </c>
    </row>
    <row r="16" spans="1:6" ht="27.75" customHeight="1" x14ac:dyDescent="0.45">
      <c r="A16" s="10" t="s">
        <v>217</v>
      </c>
      <c r="B16" s="10" t="s">
        <v>218</v>
      </c>
      <c r="C16" s="12" t="s">
        <v>219</v>
      </c>
      <c r="D16" s="12" t="s">
        <v>220</v>
      </c>
      <c r="E16" s="12" t="s">
        <v>221</v>
      </c>
      <c r="F16" s="12" t="s">
        <v>222</v>
      </c>
    </row>
    <row r="17" spans="1:6" ht="27.75" customHeight="1" x14ac:dyDescent="0.45">
      <c r="A17" s="10" t="s">
        <v>223</v>
      </c>
      <c r="B17" s="10" t="s">
        <v>224</v>
      </c>
      <c r="C17" s="12" t="s">
        <v>225</v>
      </c>
      <c r="D17" s="12" t="s">
        <v>226</v>
      </c>
      <c r="E17" s="12" t="s">
        <v>227</v>
      </c>
      <c r="F17" s="12" t="s">
        <v>228</v>
      </c>
    </row>
    <row r="18" spans="1:6" ht="27.75" customHeight="1" x14ac:dyDescent="0.45"/>
    <row r="19" spans="1:6" ht="27.75" customHeight="1" x14ac:dyDescent="0.45">
      <c r="A19" s="17" t="s">
        <v>229</v>
      </c>
    </row>
    <row r="20" spans="1:6" ht="27.75" customHeight="1" x14ac:dyDescent="0.45">
      <c r="A20" s="9" t="s">
        <v>11</v>
      </c>
      <c r="B20" s="9" t="s">
        <v>230</v>
      </c>
      <c r="C20" s="9" t="s">
        <v>231</v>
      </c>
    </row>
    <row r="21" spans="1:6" ht="27.75" customHeight="1" x14ac:dyDescent="0.45">
      <c r="A21" s="25" t="s">
        <v>232</v>
      </c>
      <c r="B21" s="13">
        <v>0.505</v>
      </c>
      <c r="C21" s="12" t="s">
        <v>233</v>
      </c>
    </row>
    <row r="22" spans="1:6" ht="27.75" customHeight="1" x14ac:dyDescent="0.45">
      <c r="A22" s="26" t="s">
        <v>234</v>
      </c>
      <c r="B22" s="13">
        <v>0.14000000000000001</v>
      </c>
      <c r="C22" s="12" t="s">
        <v>235</v>
      </c>
    </row>
    <row r="23" spans="1:6" ht="27.75" customHeight="1" x14ac:dyDescent="0.45">
      <c r="A23" s="27" t="s">
        <v>236</v>
      </c>
      <c r="B23" s="13">
        <v>0</v>
      </c>
      <c r="C23" s="12" t="s">
        <v>237</v>
      </c>
    </row>
    <row r="25" spans="1:6" ht="30" customHeight="1" x14ac:dyDescent="0.45">
      <c r="A25" s="6" t="s">
        <v>238</v>
      </c>
      <c r="B25" s="6"/>
      <c r="C25" s="6"/>
      <c r="D25" s="6"/>
      <c r="E25" s="6"/>
      <c r="F25" s="6"/>
    </row>
    <row r="26" spans="1:6" x14ac:dyDescent="0.45">
      <c r="A26" s="6"/>
      <c r="B26" s="6"/>
      <c r="C26" s="6"/>
      <c r="D26" s="6"/>
      <c r="E26" s="6"/>
      <c r="F26" s="6"/>
    </row>
  </sheetData>
  <mergeCells count="1">
    <mergeCell ref="A25:F2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28"/>
  <sheetViews>
    <sheetView showGridLines="0" zoomScaleNormal="100" workbookViewId="0"/>
  </sheetViews>
  <sheetFormatPr defaultColWidth="8.6640625" defaultRowHeight="14.25" x14ac:dyDescent="0.45"/>
  <cols>
    <col min="1" max="1" width="6" customWidth="1"/>
    <col min="2" max="2" width="8" customWidth="1"/>
    <col min="3" max="12" width="8.46484375" customWidth="1"/>
  </cols>
  <sheetData>
    <row r="1" spans="1:12" ht="17.649999999999999" x14ac:dyDescent="0.5">
      <c r="A1" s="7" t="s">
        <v>239</v>
      </c>
    </row>
    <row r="2" spans="1:12" x14ac:dyDescent="0.45">
      <c r="A2" s="8" t="s">
        <v>240</v>
      </c>
    </row>
    <row r="4" spans="1:12" x14ac:dyDescent="0.45">
      <c r="B4" s="28" t="s">
        <v>241</v>
      </c>
    </row>
    <row r="5" spans="1:12" ht="30" customHeight="1" x14ac:dyDescent="0.45">
      <c r="A5" s="5" t="s">
        <v>242</v>
      </c>
      <c r="B5" s="29">
        <v>1</v>
      </c>
      <c r="C5" s="30" t="str">
        <f>TRIM(IF(AND(ABS('Реестр рисков'!$G$5-0.1)&lt;0.001,ABS('Реестр рисков'!$H$5-1)&lt;0.001),'Реестр рисков'!$B$5&amp;" ","")&amp;IF(AND(ABS('Реестр рисков'!$G$6-0.1)&lt;0.001,ABS('Реестр рисков'!$H$6-1)&lt;0.001),'Реестр рисков'!$B$6&amp;" ","")&amp;IF(AND(ABS('Реестр рисков'!$G$7-0.1)&lt;0.001,ABS('Реестр рисков'!$H$7-1)&lt;0.001),'Реестр рисков'!$B$7&amp;" ","")&amp;IF(AND(ABS('Реестр рисков'!$G$8-0.1)&lt;0.001,ABS('Реестр рисков'!$H$8-1)&lt;0.001),'Реестр рисков'!$B$8&amp;" ","")&amp;IF(AND(ABS('Реестр рисков'!$G$9-0.1)&lt;0.001,ABS('Реестр рисков'!$H$9-1)&lt;0.001),'Реестр рисков'!$B$9&amp;" ","")&amp;IF(AND(ABS('Реестр рисков'!$G$10-0.1)&lt;0.001,ABS('Реестр рисков'!$H$10-1)&lt;0.001),'Реестр рисков'!$B$10&amp;" ","")&amp;IF(AND(ABS('Реестр рисков'!$G$11-0.1)&lt;0.001,ABS('Реестр рисков'!$H$11-1)&lt;0.001),'Реестр рисков'!$B$11&amp;" ","")&amp;IF(AND(ABS('Реестр рисков'!$G$12-0.1)&lt;0.001,ABS('Реестр рисков'!$H$12-1)&lt;0.001),'Реестр рисков'!$B$12&amp;" ","")&amp;IF(AND(ABS('Реестр рисков'!$G$13-0.1)&lt;0.001,ABS('Реестр рисков'!$H$13-1)&lt;0.001),'Реестр рисков'!$B$13&amp;" ","")&amp;IF(AND(ABS('Реестр рисков'!$G$14-0.1)&lt;0.001,ABS('Реестр рисков'!$H$14-1)&lt;0.001),'Реестр рисков'!$B$14&amp;" ","")&amp;IF(AND(ABS('Реестр рисков'!$G$15-0.1)&lt;0.001,ABS('Реестр рисков'!$H$15-1)&lt;0.001),'Реестр рисков'!$B$15&amp;" ","")&amp;IF(AND(ABS('Реестр рисков'!$G$16-0.1)&lt;0.001,ABS('Реестр рисков'!$H$16-1)&lt;0.001),'Реестр рисков'!$B$16&amp;" ","")&amp;IF(AND(ABS('Реестр рисков'!$G$17-0.1)&lt;0.001,ABS('Реестр рисков'!$H$17-1)&lt;0.001),'Реестр рисков'!$B$17&amp;" ","")&amp;IF(AND(ABS('Реестр рисков'!$G$18-0.1)&lt;0.001,ABS('Реестр рисков'!$H$18-1)&lt;0.001),'Реестр рисков'!$B$18&amp;" ","")&amp;IF(AND(ABS('Реестр рисков'!$G$19-0.1)&lt;0.001,ABS('Реестр рисков'!$H$19-1)&lt;0.001),'Реестр рисков'!$B$19&amp;" ","")&amp;IF(AND(ABS('Реестр рисков'!$G$20-0.1)&lt;0.001,ABS('Реестр рисков'!$H$20-1)&lt;0.001),'Реестр рисков'!$B$20&amp;" ","")&amp;IF(AND(ABS('Реестр рисков'!$G$21-0.1)&lt;0.001,ABS('Реестр рисков'!$H$21-1)&lt;0.001),'Реестр рисков'!$B$21&amp;" ","")&amp;IF(AND(ABS('Реестр рисков'!$G$22-0.1)&lt;0.001,ABS('Реестр рисков'!$H$22-1)&lt;0.001),'Реестр рисков'!$B$22&amp;" ","")&amp;IF(AND(ABS('Реестр рисков'!$G$23-0.1)&lt;0.001,ABS('Реестр рисков'!$H$23-1)&lt;0.001),'Реестр рисков'!$B$23&amp;" ",""))</f>
        <v/>
      </c>
      <c r="D5" s="31" t="str">
        <f>TRIM(IF(AND(ABS('Реестр рисков'!$G$5-0.2)&lt;0.001,ABS('Реестр рисков'!$H$5-1)&lt;0.001),'Реестр рисков'!$B$5&amp;" ","")&amp;IF(AND(ABS('Реестр рисков'!$G$6-0.2)&lt;0.001,ABS('Реестр рисков'!$H$6-1)&lt;0.001),'Реестр рисков'!$B$6&amp;" ","")&amp;IF(AND(ABS('Реестр рисков'!$G$7-0.2)&lt;0.001,ABS('Реестр рисков'!$H$7-1)&lt;0.001),'Реестр рисков'!$B$7&amp;" ","")&amp;IF(AND(ABS('Реестр рисков'!$G$8-0.2)&lt;0.001,ABS('Реестр рисков'!$H$8-1)&lt;0.001),'Реестр рисков'!$B$8&amp;" ","")&amp;IF(AND(ABS('Реестр рисков'!$G$9-0.2)&lt;0.001,ABS('Реестр рисков'!$H$9-1)&lt;0.001),'Реестр рисков'!$B$9&amp;" ","")&amp;IF(AND(ABS('Реестр рисков'!$G$10-0.2)&lt;0.001,ABS('Реестр рисков'!$H$10-1)&lt;0.001),'Реестр рисков'!$B$10&amp;" ","")&amp;IF(AND(ABS('Реестр рисков'!$G$11-0.2)&lt;0.001,ABS('Реестр рисков'!$H$11-1)&lt;0.001),'Реестр рисков'!$B$11&amp;" ","")&amp;IF(AND(ABS('Реестр рисков'!$G$12-0.2)&lt;0.001,ABS('Реестр рисков'!$H$12-1)&lt;0.001),'Реестр рисков'!$B$12&amp;" ","")&amp;IF(AND(ABS('Реестр рисков'!$G$13-0.2)&lt;0.001,ABS('Реестр рисков'!$H$13-1)&lt;0.001),'Реестр рисков'!$B$13&amp;" ","")&amp;IF(AND(ABS('Реестр рисков'!$G$14-0.2)&lt;0.001,ABS('Реестр рисков'!$H$14-1)&lt;0.001),'Реестр рисков'!$B$14&amp;" ","")&amp;IF(AND(ABS('Реестр рисков'!$G$15-0.2)&lt;0.001,ABS('Реестр рисков'!$H$15-1)&lt;0.001),'Реестр рисков'!$B$15&amp;" ","")&amp;IF(AND(ABS('Реестр рисков'!$G$16-0.2)&lt;0.001,ABS('Реестр рисков'!$H$16-1)&lt;0.001),'Реестр рисков'!$B$16&amp;" ","")&amp;IF(AND(ABS('Реестр рисков'!$G$17-0.2)&lt;0.001,ABS('Реестр рисков'!$H$17-1)&lt;0.001),'Реестр рисков'!$B$17&amp;" ","")&amp;IF(AND(ABS('Реестр рисков'!$G$18-0.2)&lt;0.001,ABS('Реестр рисков'!$H$18-1)&lt;0.001),'Реестр рисков'!$B$18&amp;" ","")&amp;IF(AND(ABS('Реестр рисков'!$G$19-0.2)&lt;0.001,ABS('Реестр рисков'!$H$19-1)&lt;0.001),'Реестр рисков'!$B$19&amp;" ","")&amp;IF(AND(ABS('Реестр рисков'!$G$20-0.2)&lt;0.001,ABS('Реестр рисков'!$H$20-1)&lt;0.001),'Реестр рисков'!$B$20&amp;" ","")&amp;IF(AND(ABS('Реестр рисков'!$G$21-0.2)&lt;0.001,ABS('Реестр рисков'!$H$21-1)&lt;0.001),'Реестр рисков'!$B$21&amp;" ","")&amp;IF(AND(ABS('Реестр рисков'!$G$22-0.2)&lt;0.001,ABS('Реестр рисков'!$H$22-1)&lt;0.001),'Реестр рисков'!$B$22&amp;" ","")&amp;IF(AND(ABS('Реестр рисков'!$G$23-0.2)&lt;0.001,ABS('Реестр рисков'!$H$23-1)&lt;0.001),'Реестр рисков'!$B$23&amp;" ",""))</f>
        <v>R16</v>
      </c>
      <c r="E5" s="31" t="str">
        <f>TRIM(IF(AND(ABS('Реестр рисков'!$G$5-0.3)&lt;0.001,ABS('Реестр рисков'!$H$5-1)&lt;0.001),'Реестр рисков'!$B$5&amp;" ","")&amp;IF(AND(ABS('Реестр рисков'!$G$6-0.3)&lt;0.001,ABS('Реестр рисков'!$H$6-1)&lt;0.001),'Реестр рисков'!$B$6&amp;" ","")&amp;IF(AND(ABS('Реестр рисков'!$G$7-0.3)&lt;0.001,ABS('Реестр рисков'!$H$7-1)&lt;0.001),'Реестр рисков'!$B$7&amp;" ","")&amp;IF(AND(ABS('Реестр рисков'!$G$8-0.3)&lt;0.001,ABS('Реестр рисков'!$H$8-1)&lt;0.001),'Реестр рисков'!$B$8&amp;" ","")&amp;IF(AND(ABS('Реестр рисков'!$G$9-0.3)&lt;0.001,ABS('Реестр рисков'!$H$9-1)&lt;0.001),'Реестр рисков'!$B$9&amp;" ","")&amp;IF(AND(ABS('Реестр рисков'!$G$10-0.3)&lt;0.001,ABS('Реестр рисков'!$H$10-1)&lt;0.001),'Реестр рисков'!$B$10&amp;" ","")&amp;IF(AND(ABS('Реестр рисков'!$G$11-0.3)&lt;0.001,ABS('Реестр рисков'!$H$11-1)&lt;0.001),'Реестр рисков'!$B$11&amp;" ","")&amp;IF(AND(ABS('Реестр рисков'!$G$12-0.3)&lt;0.001,ABS('Реестр рисков'!$H$12-1)&lt;0.001),'Реестр рисков'!$B$12&amp;" ","")&amp;IF(AND(ABS('Реестр рисков'!$G$13-0.3)&lt;0.001,ABS('Реестр рисков'!$H$13-1)&lt;0.001),'Реестр рисков'!$B$13&amp;" ","")&amp;IF(AND(ABS('Реестр рисков'!$G$14-0.3)&lt;0.001,ABS('Реестр рисков'!$H$14-1)&lt;0.001),'Реестр рисков'!$B$14&amp;" ","")&amp;IF(AND(ABS('Реестр рисков'!$G$15-0.3)&lt;0.001,ABS('Реестр рисков'!$H$15-1)&lt;0.001),'Реестр рисков'!$B$15&amp;" ","")&amp;IF(AND(ABS('Реестр рисков'!$G$16-0.3)&lt;0.001,ABS('Реестр рисков'!$H$16-1)&lt;0.001),'Реестр рисков'!$B$16&amp;" ","")&amp;IF(AND(ABS('Реестр рисков'!$G$17-0.3)&lt;0.001,ABS('Реестр рисков'!$H$17-1)&lt;0.001),'Реестр рисков'!$B$17&amp;" ","")&amp;IF(AND(ABS('Реестр рисков'!$G$18-0.3)&lt;0.001,ABS('Реестр рисков'!$H$18-1)&lt;0.001),'Реестр рисков'!$B$18&amp;" ","")&amp;IF(AND(ABS('Реестр рисков'!$G$19-0.3)&lt;0.001,ABS('Реестр рисков'!$H$19-1)&lt;0.001),'Реестр рисков'!$B$19&amp;" ","")&amp;IF(AND(ABS('Реестр рисков'!$G$20-0.3)&lt;0.001,ABS('Реестр рисков'!$H$20-1)&lt;0.001),'Реестр рисков'!$B$20&amp;" ","")&amp;IF(AND(ABS('Реестр рисков'!$G$21-0.3)&lt;0.001,ABS('Реестр рисков'!$H$21-1)&lt;0.001),'Реестр рисков'!$B$21&amp;" ","")&amp;IF(AND(ABS('Реестр рисков'!$G$22-0.3)&lt;0.001,ABS('Реестр рисков'!$H$22-1)&lt;0.001),'Реестр рисков'!$B$22&amp;" ","")&amp;IF(AND(ABS('Реестр рисков'!$G$23-0.3)&lt;0.001,ABS('Реестр рисков'!$H$23-1)&lt;0.001),'Реестр рисков'!$B$23&amp;" ",""))</f>
        <v/>
      </c>
      <c r="F5" s="31" t="str">
        <f>TRIM(IF(AND(ABS('Реестр рисков'!$G$5-0.4)&lt;0.001,ABS('Реестр рисков'!$H$5-1)&lt;0.001),'Реестр рисков'!$B$5&amp;" ","")&amp;IF(AND(ABS('Реестр рисков'!$G$6-0.4)&lt;0.001,ABS('Реестр рисков'!$H$6-1)&lt;0.001),'Реестр рисков'!$B$6&amp;" ","")&amp;IF(AND(ABS('Реестр рисков'!$G$7-0.4)&lt;0.001,ABS('Реестр рисков'!$H$7-1)&lt;0.001),'Реестр рисков'!$B$7&amp;" ","")&amp;IF(AND(ABS('Реестр рисков'!$G$8-0.4)&lt;0.001,ABS('Реестр рисков'!$H$8-1)&lt;0.001),'Реестр рисков'!$B$8&amp;" ","")&amp;IF(AND(ABS('Реестр рисков'!$G$9-0.4)&lt;0.001,ABS('Реестр рисков'!$H$9-1)&lt;0.001),'Реестр рисков'!$B$9&amp;" ","")&amp;IF(AND(ABS('Реестр рисков'!$G$10-0.4)&lt;0.001,ABS('Реестр рисков'!$H$10-1)&lt;0.001),'Реестр рисков'!$B$10&amp;" ","")&amp;IF(AND(ABS('Реестр рисков'!$G$11-0.4)&lt;0.001,ABS('Реестр рисков'!$H$11-1)&lt;0.001),'Реестр рисков'!$B$11&amp;" ","")&amp;IF(AND(ABS('Реестр рисков'!$G$12-0.4)&lt;0.001,ABS('Реестр рисков'!$H$12-1)&lt;0.001),'Реестр рисков'!$B$12&amp;" ","")&amp;IF(AND(ABS('Реестр рисков'!$G$13-0.4)&lt;0.001,ABS('Реестр рисков'!$H$13-1)&lt;0.001),'Реестр рисков'!$B$13&amp;" ","")&amp;IF(AND(ABS('Реестр рисков'!$G$14-0.4)&lt;0.001,ABS('Реестр рисков'!$H$14-1)&lt;0.001),'Реестр рисков'!$B$14&amp;" ","")&amp;IF(AND(ABS('Реестр рисков'!$G$15-0.4)&lt;0.001,ABS('Реестр рисков'!$H$15-1)&lt;0.001),'Реестр рисков'!$B$15&amp;" ","")&amp;IF(AND(ABS('Реестр рисков'!$G$16-0.4)&lt;0.001,ABS('Реестр рисков'!$H$16-1)&lt;0.001),'Реестр рисков'!$B$16&amp;" ","")&amp;IF(AND(ABS('Реестр рисков'!$G$17-0.4)&lt;0.001,ABS('Реестр рисков'!$H$17-1)&lt;0.001),'Реестр рисков'!$B$17&amp;" ","")&amp;IF(AND(ABS('Реестр рисков'!$G$18-0.4)&lt;0.001,ABS('Реестр рисков'!$H$18-1)&lt;0.001),'Реестр рисков'!$B$18&amp;" ","")&amp;IF(AND(ABS('Реестр рисков'!$G$19-0.4)&lt;0.001,ABS('Реестр рисков'!$H$19-1)&lt;0.001),'Реестр рисков'!$B$19&amp;" ","")&amp;IF(AND(ABS('Реестр рисков'!$G$20-0.4)&lt;0.001,ABS('Реестр рисков'!$H$20-1)&lt;0.001),'Реестр рисков'!$B$20&amp;" ","")&amp;IF(AND(ABS('Реестр рисков'!$G$21-0.4)&lt;0.001,ABS('Реестр рисков'!$H$21-1)&lt;0.001),'Реестр рисков'!$B$21&amp;" ","")&amp;IF(AND(ABS('Реестр рисков'!$G$22-0.4)&lt;0.001,ABS('Реестр рисков'!$H$22-1)&lt;0.001),'Реестр рисков'!$B$22&amp;" ","")&amp;IF(AND(ABS('Реестр рисков'!$G$23-0.4)&lt;0.001,ABS('Реестр рисков'!$H$23-1)&lt;0.001),'Реестр рисков'!$B$23&amp;" ",""))</f>
        <v/>
      </c>
      <c r="G5" s="31" t="str">
        <f>TRIM(IF(AND(ABS('Реестр рисков'!$G$5-0.5)&lt;0.001,ABS('Реестр рисков'!$H$5-1)&lt;0.001),'Реестр рисков'!$B$5&amp;" ","")&amp;IF(AND(ABS('Реестр рисков'!$G$6-0.5)&lt;0.001,ABS('Реестр рисков'!$H$6-1)&lt;0.001),'Реестр рисков'!$B$6&amp;" ","")&amp;IF(AND(ABS('Реестр рисков'!$G$7-0.5)&lt;0.001,ABS('Реестр рисков'!$H$7-1)&lt;0.001),'Реестр рисков'!$B$7&amp;" ","")&amp;IF(AND(ABS('Реестр рисков'!$G$8-0.5)&lt;0.001,ABS('Реестр рисков'!$H$8-1)&lt;0.001),'Реестр рисков'!$B$8&amp;" ","")&amp;IF(AND(ABS('Реестр рисков'!$G$9-0.5)&lt;0.001,ABS('Реестр рисков'!$H$9-1)&lt;0.001),'Реестр рисков'!$B$9&amp;" ","")&amp;IF(AND(ABS('Реестр рисков'!$G$10-0.5)&lt;0.001,ABS('Реестр рисков'!$H$10-1)&lt;0.001),'Реестр рисков'!$B$10&amp;" ","")&amp;IF(AND(ABS('Реестр рисков'!$G$11-0.5)&lt;0.001,ABS('Реестр рисков'!$H$11-1)&lt;0.001),'Реестр рисков'!$B$11&amp;" ","")&amp;IF(AND(ABS('Реестр рисков'!$G$12-0.5)&lt;0.001,ABS('Реестр рисков'!$H$12-1)&lt;0.001),'Реестр рисков'!$B$12&amp;" ","")&amp;IF(AND(ABS('Реестр рисков'!$G$13-0.5)&lt;0.001,ABS('Реестр рисков'!$H$13-1)&lt;0.001),'Реестр рисков'!$B$13&amp;" ","")&amp;IF(AND(ABS('Реестр рисков'!$G$14-0.5)&lt;0.001,ABS('Реестр рисков'!$H$14-1)&lt;0.001),'Реестр рисков'!$B$14&amp;" ","")&amp;IF(AND(ABS('Реестр рисков'!$G$15-0.5)&lt;0.001,ABS('Реестр рисков'!$H$15-1)&lt;0.001),'Реестр рисков'!$B$15&amp;" ","")&amp;IF(AND(ABS('Реестр рисков'!$G$16-0.5)&lt;0.001,ABS('Реестр рисков'!$H$16-1)&lt;0.001),'Реестр рисков'!$B$16&amp;" ","")&amp;IF(AND(ABS('Реестр рисков'!$G$17-0.5)&lt;0.001,ABS('Реестр рисков'!$H$17-1)&lt;0.001),'Реестр рисков'!$B$17&amp;" ","")&amp;IF(AND(ABS('Реестр рисков'!$G$18-0.5)&lt;0.001,ABS('Реестр рисков'!$H$18-1)&lt;0.001),'Реестр рисков'!$B$18&amp;" ","")&amp;IF(AND(ABS('Реестр рисков'!$G$19-0.5)&lt;0.001,ABS('Реестр рисков'!$H$19-1)&lt;0.001),'Реестр рисков'!$B$19&amp;" ","")&amp;IF(AND(ABS('Реестр рисков'!$G$20-0.5)&lt;0.001,ABS('Реестр рисков'!$H$20-1)&lt;0.001),'Реестр рисков'!$B$20&amp;" ","")&amp;IF(AND(ABS('Реестр рисков'!$G$21-0.5)&lt;0.001,ABS('Реестр рисков'!$H$21-1)&lt;0.001),'Реестр рисков'!$B$21&amp;" ","")&amp;IF(AND(ABS('Реестр рисков'!$G$22-0.5)&lt;0.001,ABS('Реестр рисков'!$H$22-1)&lt;0.001),'Реестр рисков'!$B$22&amp;" ","")&amp;IF(AND(ABS('Реестр рисков'!$G$23-0.5)&lt;0.001,ABS('Реестр рисков'!$H$23-1)&lt;0.001),'Реестр рисков'!$B$23&amp;" ",""))</f>
        <v/>
      </c>
      <c r="H5" s="32" t="str">
        <f>TRIM(IF(AND(ABS('Реестр рисков'!$G$5-0.6)&lt;0.001,ABS('Реестр рисков'!$H$5-1)&lt;0.001),'Реестр рисков'!$B$5&amp;" ","")&amp;IF(AND(ABS('Реестр рисков'!$G$6-0.6)&lt;0.001,ABS('Реестр рисков'!$H$6-1)&lt;0.001),'Реестр рисков'!$B$6&amp;" ","")&amp;IF(AND(ABS('Реестр рисков'!$G$7-0.6)&lt;0.001,ABS('Реестр рисков'!$H$7-1)&lt;0.001),'Реестр рисков'!$B$7&amp;" ","")&amp;IF(AND(ABS('Реестр рисков'!$G$8-0.6)&lt;0.001,ABS('Реестр рисков'!$H$8-1)&lt;0.001),'Реестр рисков'!$B$8&amp;" ","")&amp;IF(AND(ABS('Реестр рисков'!$G$9-0.6)&lt;0.001,ABS('Реестр рисков'!$H$9-1)&lt;0.001),'Реестр рисков'!$B$9&amp;" ","")&amp;IF(AND(ABS('Реестр рисков'!$G$10-0.6)&lt;0.001,ABS('Реестр рисков'!$H$10-1)&lt;0.001),'Реестр рисков'!$B$10&amp;" ","")&amp;IF(AND(ABS('Реестр рисков'!$G$11-0.6)&lt;0.001,ABS('Реестр рисков'!$H$11-1)&lt;0.001),'Реестр рисков'!$B$11&amp;" ","")&amp;IF(AND(ABS('Реестр рисков'!$G$12-0.6)&lt;0.001,ABS('Реестр рисков'!$H$12-1)&lt;0.001),'Реестр рисков'!$B$12&amp;" ","")&amp;IF(AND(ABS('Реестр рисков'!$G$13-0.6)&lt;0.001,ABS('Реестр рисков'!$H$13-1)&lt;0.001),'Реестр рисков'!$B$13&amp;" ","")&amp;IF(AND(ABS('Реестр рисков'!$G$14-0.6)&lt;0.001,ABS('Реестр рисков'!$H$14-1)&lt;0.001),'Реестр рисков'!$B$14&amp;" ","")&amp;IF(AND(ABS('Реестр рисков'!$G$15-0.6)&lt;0.001,ABS('Реестр рисков'!$H$15-1)&lt;0.001),'Реестр рисков'!$B$15&amp;" ","")&amp;IF(AND(ABS('Реестр рисков'!$G$16-0.6)&lt;0.001,ABS('Реестр рисков'!$H$16-1)&lt;0.001),'Реестр рисков'!$B$16&amp;" ","")&amp;IF(AND(ABS('Реестр рисков'!$G$17-0.6)&lt;0.001,ABS('Реестр рисков'!$H$17-1)&lt;0.001),'Реестр рисков'!$B$17&amp;" ","")&amp;IF(AND(ABS('Реестр рисков'!$G$18-0.6)&lt;0.001,ABS('Реестр рисков'!$H$18-1)&lt;0.001),'Реестр рисков'!$B$18&amp;" ","")&amp;IF(AND(ABS('Реестр рисков'!$G$19-0.6)&lt;0.001,ABS('Реестр рисков'!$H$19-1)&lt;0.001),'Реестр рисков'!$B$19&amp;" ","")&amp;IF(AND(ABS('Реестр рисков'!$G$20-0.6)&lt;0.001,ABS('Реестр рисков'!$H$20-1)&lt;0.001),'Реестр рисков'!$B$20&amp;" ","")&amp;IF(AND(ABS('Реестр рисков'!$G$21-0.6)&lt;0.001,ABS('Реестр рисков'!$H$21-1)&lt;0.001),'Реестр рисков'!$B$21&amp;" ","")&amp;IF(AND(ABS('Реестр рисков'!$G$22-0.6)&lt;0.001,ABS('Реестр рисков'!$H$22-1)&lt;0.001),'Реестр рисков'!$B$22&amp;" ","")&amp;IF(AND(ABS('Реестр рисков'!$G$23-0.6)&lt;0.001,ABS('Реестр рисков'!$H$23-1)&lt;0.001),'Реестр рисков'!$B$23&amp;" ",""))</f>
        <v/>
      </c>
      <c r="I5" s="32" t="str">
        <f>TRIM(IF(AND(ABS('Реестр рисков'!$G$5-0.7)&lt;0.001,ABS('Реестр рисков'!$H$5-1)&lt;0.001),'Реестр рисков'!$B$5&amp;" ","")&amp;IF(AND(ABS('Реестр рисков'!$G$6-0.7)&lt;0.001,ABS('Реестр рисков'!$H$6-1)&lt;0.001),'Реестр рисков'!$B$6&amp;" ","")&amp;IF(AND(ABS('Реестр рисков'!$G$7-0.7)&lt;0.001,ABS('Реестр рисков'!$H$7-1)&lt;0.001),'Реестр рисков'!$B$7&amp;" ","")&amp;IF(AND(ABS('Реестр рисков'!$G$8-0.7)&lt;0.001,ABS('Реестр рисков'!$H$8-1)&lt;0.001),'Реестр рисков'!$B$8&amp;" ","")&amp;IF(AND(ABS('Реестр рисков'!$G$9-0.7)&lt;0.001,ABS('Реестр рисков'!$H$9-1)&lt;0.001),'Реестр рисков'!$B$9&amp;" ","")&amp;IF(AND(ABS('Реестр рисков'!$G$10-0.7)&lt;0.001,ABS('Реестр рисков'!$H$10-1)&lt;0.001),'Реестр рисков'!$B$10&amp;" ","")&amp;IF(AND(ABS('Реестр рисков'!$G$11-0.7)&lt;0.001,ABS('Реестр рисков'!$H$11-1)&lt;0.001),'Реестр рисков'!$B$11&amp;" ","")&amp;IF(AND(ABS('Реестр рисков'!$G$12-0.7)&lt;0.001,ABS('Реестр рисков'!$H$12-1)&lt;0.001),'Реестр рисков'!$B$12&amp;" ","")&amp;IF(AND(ABS('Реестр рисков'!$G$13-0.7)&lt;0.001,ABS('Реестр рисков'!$H$13-1)&lt;0.001),'Реестр рисков'!$B$13&amp;" ","")&amp;IF(AND(ABS('Реестр рисков'!$G$14-0.7)&lt;0.001,ABS('Реестр рисков'!$H$14-1)&lt;0.001),'Реестр рисков'!$B$14&amp;" ","")&amp;IF(AND(ABS('Реестр рисков'!$G$15-0.7)&lt;0.001,ABS('Реестр рисков'!$H$15-1)&lt;0.001),'Реестр рисков'!$B$15&amp;" ","")&amp;IF(AND(ABS('Реестр рисков'!$G$16-0.7)&lt;0.001,ABS('Реестр рисков'!$H$16-1)&lt;0.001),'Реестр рисков'!$B$16&amp;" ","")&amp;IF(AND(ABS('Реестр рисков'!$G$17-0.7)&lt;0.001,ABS('Реестр рисков'!$H$17-1)&lt;0.001),'Реестр рисков'!$B$17&amp;" ","")&amp;IF(AND(ABS('Реестр рисков'!$G$18-0.7)&lt;0.001,ABS('Реестр рисков'!$H$18-1)&lt;0.001),'Реестр рисков'!$B$18&amp;" ","")&amp;IF(AND(ABS('Реестр рисков'!$G$19-0.7)&lt;0.001,ABS('Реестр рисков'!$H$19-1)&lt;0.001),'Реестр рисков'!$B$19&amp;" ","")&amp;IF(AND(ABS('Реестр рисков'!$G$20-0.7)&lt;0.001,ABS('Реестр рисков'!$H$20-1)&lt;0.001),'Реестр рисков'!$B$20&amp;" ","")&amp;IF(AND(ABS('Реестр рисков'!$G$21-0.7)&lt;0.001,ABS('Реестр рисков'!$H$21-1)&lt;0.001),'Реестр рисков'!$B$21&amp;" ","")&amp;IF(AND(ABS('Реестр рисков'!$G$22-0.7)&lt;0.001,ABS('Реестр рисков'!$H$22-1)&lt;0.001),'Реестр рисков'!$B$22&amp;" ","")&amp;IF(AND(ABS('Реестр рисков'!$G$23-0.7)&lt;0.001,ABS('Реестр рисков'!$H$23-1)&lt;0.001),'Реестр рисков'!$B$23&amp;" ",""))</f>
        <v/>
      </c>
      <c r="J5" s="32" t="str">
        <f>TRIM(IF(AND(ABS('Реестр рисков'!$G$5-0.8)&lt;0.001,ABS('Реестр рисков'!$H$5-1)&lt;0.001),'Реестр рисков'!$B$5&amp;" ","")&amp;IF(AND(ABS('Реестр рисков'!$G$6-0.8)&lt;0.001,ABS('Реестр рисков'!$H$6-1)&lt;0.001),'Реестр рисков'!$B$6&amp;" ","")&amp;IF(AND(ABS('Реестр рисков'!$G$7-0.8)&lt;0.001,ABS('Реестр рисков'!$H$7-1)&lt;0.001),'Реестр рисков'!$B$7&amp;" ","")&amp;IF(AND(ABS('Реестр рисков'!$G$8-0.8)&lt;0.001,ABS('Реестр рисков'!$H$8-1)&lt;0.001),'Реестр рисков'!$B$8&amp;" ","")&amp;IF(AND(ABS('Реестр рисков'!$G$9-0.8)&lt;0.001,ABS('Реестр рисков'!$H$9-1)&lt;0.001),'Реестр рисков'!$B$9&amp;" ","")&amp;IF(AND(ABS('Реестр рисков'!$G$10-0.8)&lt;0.001,ABS('Реестр рисков'!$H$10-1)&lt;0.001),'Реестр рисков'!$B$10&amp;" ","")&amp;IF(AND(ABS('Реестр рисков'!$G$11-0.8)&lt;0.001,ABS('Реестр рисков'!$H$11-1)&lt;0.001),'Реестр рисков'!$B$11&amp;" ","")&amp;IF(AND(ABS('Реестр рисков'!$G$12-0.8)&lt;0.001,ABS('Реестр рисков'!$H$12-1)&lt;0.001),'Реестр рисков'!$B$12&amp;" ","")&amp;IF(AND(ABS('Реестр рисков'!$G$13-0.8)&lt;0.001,ABS('Реестр рисков'!$H$13-1)&lt;0.001),'Реестр рисков'!$B$13&amp;" ","")&amp;IF(AND(ABS('Реестр рисков'!$G$14-0.8)&lt;0.001,ABS('Реестр рисков'!$H$14-1)&lt;0.001),'Реестр рисков'!$B$14&amp;" ","")&amp;IF(AND(ABS('Реестр рисков'!$G$15-0.8)&lt;0.001,ABS('Реестр рисков'!$H$15-1)&lt;0.001),'Реестр рисков'!$B$15&amp;" ","")&amp;IF(AND(ABS('Реестр рисков'!$G$16-0.8)&lt;0.001,ABS('Реестр рисков'!$H$16-1)&lt;0.001),'Реестр рисков'!$B$16&amp;" ","")&amp;IF(AND(ABS('Реестр рисков'!$G$17-0.8)&lt;0.001,ABS('Реестр рисков'!$H$17-1)&lt;0.001),'Реестр рисков'!$B$17&amp;" ","")&amp;IF(AND(ABS('Реестр рисков'!$G$18-0.8)&lt;0.001,ABS('Реестр рисков'!$H$18-1)&lt;0.001),'Реестр рисков'!$B$18&amp;" ","")&amp;IF(AND(ABS('Реестр рисков'!$G$19-0.8)&lt;0.001,ABS('Реестр рисков'!$H$19-1)&lt;0.001),'Реестр рисков'!$B$19&amp;" ","")&amp;IF(AND(ABS('Реестр рисков'!$G$20-0.8)&lt;0.001,ABS('Реестр рисков'!$H$20-1)&lt;0.001),'Реестр рисков'!$B$20&amp;" ","")&amp;IF(AND(ABS('Реестр рисков'!$G$21-0.8)&lt;0.001,ABS('Реестр рисков'!$H$21-1)&lt;0.001),'Реестр рисков'!$B$21&amp;" ","")&amp;IF(AND(ABS('Реестр рисков'!$G$22-0.8)&lt;0.001,ABS('Реестр рисков'!$H$22-1)&lt;0.001),'Реестр рисков'!$B$22&amp;" ","")&amp;IF(AND(ABS('Реестр рисков'!$G$23-0.8)&lt;0.001,ABS('Реестр рисков'!$H$23-1)&lt;0.001),'Реестр рисков'!$B$23&amp;" ",""))</f>
        <v/>
      </c>
      <c r="K5" s="32" t="str">
        <f>TRIM(IF(AND(ABS('Реестр рисков'!$G$5-0.9)&lt;0.001,ABS('Реестр рисков'!$H$5-1)&lt;0.001),'Реестр рисков'!$B$5&amp;" ","")&amp;IF(AND(ABS('Реестр рисков'!$G$6-0.9)&lt;0.001,ABS('Реестр рисков'!$H$6-1)&lt;0.001),'Реестр рисков'!$B$6&amp;" ","")&amp;IF(AND(ABS('Реестр рисков'!$G$7-0.9)&lt;0.001,ABS('Реестр рисков'!$H$7-1)&lt;0.001),'Реестр рисков'!$B$7&amp;" ","")&amp;IF(AND(ABS('Реестр рисков'!$G$8-0.9)&lt;0.001,ABS('Реестр рисков'!$H$8-1)&lt;0.001),'Реестр рисков'!$B$8&amp;" ","")&amp;IF(AND(ABS('Реестр рисков'!$G$9-0.9)&lt;0.001,ABS('Реестр рисков'!$H$9-1)&lt;0.001),'Реестр рисков'!$B$9&amp;" ","")&amp;IF(AND(ABS('Реестр рисков'!$G$10-0.9)&lt;0.001,ABS('Реестр рисков'!$H$10-1)&lt;0.001),'Реестр рисков'!$B$10&amp;" ","")&amp;IF(AND(ABS('Реестр рисков'!$G$11-0.9)&lt;0.001,ABS('Реестр рисков'!$H$11-1)&lt;0.001),'Реестр рисков'!$B$11&amp;" ","")&amp;IF(AND(ABS('Реестр рисков'!$G$12-0.9)&lt;0.001,ABS('Реестр рисков'!$H$12-1)&lt;0.001),'Реестр рисков'!$B$12&amp;" ","")&amp;IF(AND(ABS('Реестр рисков'!$G$13-0.9)&lt;0.001,ABS('Реестр рисков'!$H$13-1)&lt;0.001),'Реестр рисков'!$B$13&amp;" ","")&amp;IF(AND(ABS('Реестр рисков'!$G$14-0.9)&lt;0.001,ABS('Реестр рисков'!$H$14-1)&lt;0.001),'Реестр рисков'!$B$14&amp;" ","")&amp;IF(AND(ABS('Реестр рисков'!$G$15-0.9)&lt;0.001,ABS('Реестр рисков'!$H$15-1)&lt;0.001),'Реестр рисков'!$B$15&amp;" ","")&amp;IF(AND(ABS('Реестр рисков'!$G$16-0.9)&lt;0.001,ABS('Реестр рисков'!$H$16-1)&lt;0.001),'Реестр рисков'!$B$16&amp;" ","")&amp;IF(AND(ABS('Реестр рисков'!$G$17-0.9)&lt;0.001,ABS('Реестр рисков'!$H$17-1)&lt;0.001),'Реестр рисков'!$B$17&amp;" ","")&amp;IF(AND(ABS('Реестр рисков'!$G$18-0.9)&lt;0.001,ABS('Реестр рисков'!$H$18-1)&lt;0.001),'Реестр рисков'!$B$18&amp;" ","")&amp;IF(AND(ABS('Реестр рисков'!$G$19-0.9)&lt;0.001,ABS('Реестр рисков'!$H$19-1)&lt;0.001),'Реестр рисков'!$B$19&amp;" ","")&amp;IF(AND(ABS('Реестр рисков'!$G$20-0.9)&lt;0.001,ABS('Реестр рисков'!$H$20-1)&lt;0.001),'Реестр рисков'!$B$20&amp;" ","")&amp;IF(AND(ABS('Реестр рисков'!$G$21-0.9)&lt;0.001,ABS('Реестр рисков'!$H$21-1)&lt;0.001),'Реестр рисков'!$B$21&amp;" ","")&amp;IF(AND(ABS('Реестр рисков'!$G$22-0.9)&lt;0.001,ABS('Реестр рисков'!$H$22-1)&lt;0.001),'Реестр рисков'!$B$22&amp;" ","")&amp;IF(AND(ABS('Реестр рисков'!$G$23-0.9)&lt;0.001,ABS('Реестр рисков'!$H$23-1)&lt;0.001),'Реестр рисков'!$B$23&amp;" ",""))</f>
        <v/>
      </c>
      <c r="L5" s="32" t="str">
        <f>TRIM(IF(AND(ABS('Реестр рисков'!$G$5-1)&lt;0.001,ABS('Реестр рисков'!$H$5-1)&lt;0.001),'Реестр рисков'!$B$5&amp;" ","")&amp;IF(AND(ABS('Реестр рисков'!$G$6-1)&lt;0.001,ABS('Реестр рисков'!$H$6-1)&lt;0.001),'Реестр рисков'!$B$6&amp;" ","")&amp;IF(AND(ABS('Реестр рисков'!$G$7-1)&lt;0.001,ABS('Реестр рисков'!$H$7-1)&lt;0.001),'Реестр рисков'!$B$7&amp;" ","")&amp;IF(AND(ABS('Реестр рисков'!$G$8-1)&lt;0.001,ABS('Реестр рисков'!$H$8-1)&lt;0.001),'Реестр рисков'!$B$8&amp;" ","")&amp;IF(AND(ABS('Реестр рисков'!$G$9-1)&lt;0.001,ABS('Реестр рисков'!$H$9-1)&lt;0.001),'Реестр рисков'!$B$9&amp;" ","")&amp;IF(AND(ABS('Реестр рисков'!$G$10-1)&lt;0.001,ABS('Реестр рисков'!$H$10-1)&lt;0.001),'Реестр рисков'!$B$10&amp;" ","")&amp;IF(AND(ABS('Реестр рисков'!$G$11-1)&lt;0.001,ABS('Реестр рисков'!$H$11-1)&lt;0.001),'Реестр рисков'!$B$11&amp;" ","")&amp;IF(AND(ABS('Реестр рисков'!$G$12-1)&lt;0.001,ABS('Реестр рисков'!$H$12-1)&lt;0.001),'Реестр рисков'!$B$12&amp;" ","")&amp;IF(AND(ABS('Реестр рисков'!$G$13-1)&lt;0.001,ABS('Реестр рисков'!$H$13-1)&lt;0.001),'Реестр рисков'!$B$13&amp;" ","")&amp;IF(AND(ABS('Реестр рисков'!$G$14-1)&lt;0.001,ABS('Реестр рисков'!$H$14-1)&lt;0.001),'Реестр рисков'!$B$14&amp;" ","")&amp;IF(AND(ABS('Реестр рисков'!$G$15-1)&lt;0.001,ABS('Реестр рисков'!$H$15-1)&lt;0.001),'Реестр рисков'!$B$15&amp;" ","")&amp;IF(AND(ABS('Реестр рисков'!$G$16-1)&lt;0.001,ABS('Реестр рисков'!$H$16-1)&lt;0.001),'Реестр рисков'!$B$16&amp;" ","")&amp;IF(AND(ABS('Реестр рисков'!$G$17-1)&lt;0.001,ABS('Реестр рисков'!$H$17-1)&lt;0.001),'Реестр рисков'!$B$17&amp;" ","")&amp;IF(AND(ABS('Реестр рисков'!$G$18-1)&lt;0.001,ABS('Реестр рисков'!$H$18-1)&lt;0.001),'Реестр рисков'!$B$18&amp;" ","")&amp;IF(AND(ABS('Реестр рисков'!$G$19-1)&lt;0.001,ABS('Реестр рисков'!$H$19-1)&lt;0.001),'Реестр рисков'!$B$19&amp;" ","")&amp;IF(AND(ABS('Реестр рисков'!$G$20-1)&lt;0.001,ABS('Реестр рисков'!$H$20-1)&lt;0.001),'Реестр рисков'!$B$20&amp;" ","")&amp;IF(AND(ABS('Реестр рисков'!$G$21-1)&lt;0.001,ABS('Реестр рисков'!$H$21-1)&lt;0.001),'Реестр рисков'!$B$21&amp;" ","")&amp;IF(AND(ABS('Реестр рисков'!$G$22-1)&lt;0.001,ABS('Реестр рисков'!$H$22-1)&lt;0.001),'Реестр рисков'!$B$22&amp;" ","")&amp;IF(AND(ABS('Реестр рисков'!$G$23-1)&lt;0.001,ABS('Реестр рисков'!$H$23-1)&lt;0.001),'Реестр рисков'!$B$23&amp;" ",""))</f>
        <v/>
      </c>
    </row>
    <row r="6" spans="1:12" ht="30" customHeight="1" x14ac:dyDescent="0.45">
      <c r="A6" s="5"/>
      <c r="B6" s="29">
        <v>0.9</v>
      </c>
      <c r="C6" s="30" t="str">
        <f>TRIM(IF(AND(ABS('Реестр рисков'!$G$5-0.1)&lt;0.001,ABS('Реестр рисков'!$H$5-0.9)&lt;0.001),'Реестр рисков'!$B$5&amp;" ","")&amp;IF(AND(ABS('Реестр рисков'!$G$6-0.1)&lt;0.001,ABS('Реестр рисков'!$H$6-0.9)&lt;0.001),'Реестр рисков'!$B$6&amp;" ","")&amp;IF(AND(ABS('Реестр рисков'!$G$7-0.1)&lt;0.001,ABS('Реестр рисков'!$H$7-0.9)&lt;0.001),'Реестр рисков'!$B$7&amp;" ","")&amp;IF(AND(ABS('Реестр рисков'!$G$8-0.1)&lt;0.001,ABS('Реестр рисков'!$H$8-0.9)&lt;0.001),'Реестр рисков'!$B$8&amp;" ","")&amp;IF(AND(ABS('Реестр рисков'!$G$9-0.1)&lt;0.001,ABS('Реестр рисков'!$H$9-0.9)&lt;0.001),'Реестр рисков'!$B$9&amp;" ","")&amp;IF(AND(ABS('Реестр рисков'!$G$10-0.1)&lt;0.001,ABS('Реестр рисков'!$H$10-0.9)&lt;0.001),'Реестр рисков'!$B$10&amp;" ","")&amp;IF(AND(ABS('Реестр рисков'!$G$11-0.1)&lt;0.001,ABS('Реестр рисков'!$H$11-0.9)&lt;0.001),'Реестр рисков'!$B$11&amp;" ","")&amp;IF(AND(ABS('Реестр рисков'!$G$12-0.1)&lt;0.001,ABS('Реестр рисков'!$H$12-0.9)&lt;0.001),'Реестр рисков'!$B$12&amp;" ","")&amp;IF(AND(ABS('Реестр рисков'!$G$13-0.1)&lt;0.001,ABS('Реестр рисков'!$H$13-0.9)&lt;0.001),'Реестр рисков'!$B$13&amp;" ","")&amp;IF(AND(ABS('Реестр рисков'!$G$14-0.1)&lt;0.001,ABS('Реестр рисков'!$H$14-0.9)&lt;0.001),'Реестр рисков'!$B$14&amp;" ","")&amp;IF(AND(ABS('Реестр рисков'!$G$15-0.1)&lt;0.001,ABS('Реестр рисков'!$H$15-0.9)&lt;0.001),'Реестр рисков'!$B$15&amp;" ","")&amp;IF(AND(ABS('Реестр рисков'!$G$16-0.1)&lt;0.001,ABS('Реестр рисков'!$H$16-0.9)&lt;0.001),'Реестр рисков'!$B$16&amp;" ","")&amp;IF(AND(ABS('Реестр рисков'!$G$17-0.1)&lt;0.001,ABS('Реестр рисков'!$H$17-0.9)&lt;0.001),'Реестр рисков'!$B$17&amp;" ","")&amp;IF(AND(ABS('Реестр рисков'!$G$18-0.1)&lt;0.001,ABS('Реестр рисков'!$H$18-0.9)&lt;0.001),'Реестр рисков'!$B$18&amp;" ","")&amp;IF(AND(ABS('Реестр рисков'!$G$19-0.1)&lt;0.001,ABS('Реестр рисков'!$H$19-0.9)&lt;0.001),'Реестр рисков'!$B$19&amp;" ","")&amp;IF(AND(ABS('Реестр рисков'!$G$20-0.1)&lt;0.001,ABS('Реестр рисков'!$H$20-0.9)&lt;0.001),'Реестр рисков'!$B$20&amp;" ","")&amp;IF(AND(ABS('Реестр рисков'!$G$21-0.1)&lt;0.001,ABS('Реестр рисков'!$H$21-0.9)&lt;0.001),'Реестр рисков'!$B$21&amp;" ","")&amp;IF(AND(ABS('Реестр рисков'!$G$22-0.1)&lt;0.001,ABS('Реестр рисков'!$H$22-0.9)&lt;0.001),'Реестр рисков'!$B$22&amp;" ","")&amp;IF(AND(ABS('Реестр рисков'!$G$23-0.1)&lt;0.001,ABS('Реестр рисков'!$H$23-0.9)&lt;0.001),'Реестр рисков'!$B$23&amp;" ",""))</f>
        <v/>
      </c>
      <c r="D6" s="31" t="str">
        <f>TRIM(IF(AND(ABS('Реестр рисков'!$G$5-0.2)&lt;0.001,ABS('Реестр рисков'!$H$5-0.9)&lt;0.001),'Реестр рисков'!$B$5&amp;" ","")&amp;IF(AND(ABS('Реестр рисков'!$G$6-0.2)&lt;0.001,ABS('Реестр рисков'!$H$6-0.9)&lt;0.001),'Реестр рисков'!$B$6&amp;" ","")&amp;IF(AND(ABS('Реестр рисков'!$G$7-0.2)&lt;0.001,ABS('Реестр рисков'!$H$7-0.9)&lt;0.001),'Реестр рисков'!$B$7&amp;" ","")&amp;IF(AND(ABS('Реестр рисков'!$G$8-0.2)&lt;0.001,ABS('Реестр рисков'!$H$8-0.9)&lt;0.001),'Реестр рисков'!$B$8&amp;" ","")&amp;IF(AND(ABS('Реестр рисков'!$G$9-0.2)&lt;0.001,ABS('Реестр рисков'!$H$9-0.9)&lt;0.001),'Реестр рисков'!$B$9&amp;" ","")&amp;IF(AND(ABS('Реестр рисков'!$G$10-0.2)&lt;0.001,ABS('Реестр рисков'!$H$10-0.9)&lt;0.001),'Реестр рисков'!$B$10&amp;" ","")&amp;IF(AND(ABS('Реестр рисков'!$G$11-0.2)&lt;0.001,ABS('Реестр рисков'!$H$11-0.9)&lt;0.001),'Реестр рисков'!$B$11&amp;" ","")&amp;IF(AND(ABS('Реестр рисков'!$G$12-0.2)&lt;0.001,ABS('Реестр рисков'!$H$12-0.9)&lt;0.001),'Реестр рисков'!$B$12&amp;" ","")&amp;IF(AND(ABS('Реестр рисков'!$G$13-0.2)&lt;0.001,ABS('Реестр рисков'!$H$13-0.9)&lt;0.001),'Реестр рисков'!$B$13&amp;" ","")&amp;IF(AND(ABS('Реестр рисков'!$G$14-0.2)&lt;0.001,ABS('Реестр рисков'!$H$14-0.9)&lt;0.001),'Реестр рисков'!$B$14&amp;" ","")&amp;IF(AND(ABS('Реестр рисков'!$G$15-0.2)&lt;0.001,ABS('Реестр рисков'!$H$15-0.9)&lt;0.001),'Реестр рисков'!$B$15&amp;" ","")&amp;IF(AND(ABS('Реестр рисков'!$G$16-0.2)&lt;0.001,ABS('Реестр рисков'!$H$16-0.9)&lt;0.001),'Реестр рисков'!$B$16&amp;" ","")&amp;IF(AND(ABS('Реестр рисков'!$G$17-0.2)&lt;0.001,ABS('Реестр рисков'!$H$17-0.9)&lt;0.001),'Реестр рисков'!$B$17&amp;" ","")&amp;IF(AND(ABS('Реестр рисков'!$G$18-0.2)&lt;0.001,ABS('Реестр рисков'!$H$18-0.9)&lt;0.001),'Реестр рисков'!$B$18&amp;" ","")&amp;IF(AND(ABS('Реестр рисков'!$G$19-0.2)&lt;0.001,ABS('Реестр рисков'!$H$19-0.9)&lt;0.001),'Реестр рисков'!$B$19&amp;" ","")&amp;IF(AND(ABS('Реестр рисков'!$G$20-0.2)&lt;0.001,ABS('Реестр рисков'!$H$20-0.9)&lt;0.001),'Реестр рисков'!$B$20&amp;" ","")&amp;IF(AND(ABS('Реестр рисков'!$G$21-0.2)&lt;0.001,ABS('Реестр рисков'!$H$21-0.9)&lt;0.001),'Реестр рисков'!$B$21&amp;" ","")&amp;IF(AND(ABS('Реестр рисков'!$G$22-0.2)&lt;0.001,ABS('Реестр рисков'!$H$22-0.9)&lt;0.001),'Реестр рисков'!$B$22&amp;" ","")&amp;IF(AND(ABS('Реестр рисков'!$G$23-0.2)&lt;0.001,ABS('Реестр рисков'!$H$23-0.9)&lt;0.001),'Реестр рисков'!$B$23&amp;" ",""))</f>
        <v/>
      </c>
      <c r="E6" s="31" t="str">
        <f>TRIM(IF(AND(ABS('Реестр рисков'!$G$5-0.3)&lt;0.001,ABS('Реестр рисков'!$H$5-0.9)&lt;0.001),'Реестр рисков'!$B$5&amp;" ","")&amp;IF(AND(ABS('Реестр рисков'!$G$6-0.3)&lt;0.001,ABS('Реестр рисков'!$H$6-0.9)&lt;0.001),'Реестр рисков'!$B$6&amp;" ","")&amp;IF(AND(ABS('Реестр рисков'!$G$7-0.3)&lt;0.001,ABS('Реестр рисков'!$H$7-0.9)&lt;0.001),'Реестр рисков'!$B$7&amp;" ","")&amp;IF(AND(ABS('Реестр рисков'!$G$8-0.3)&lt;0.001,ABS('Реестр рисков'!$H$8-0.9)&lt;0.001),'Реестр рисков'!$B$8&amp;" ","")&amp;IF(AND(ABS('Реестр рисков'!$G$9-0.3)&lt;0.001,ABS('Реестр рисков'!$H$9-0.9)&lt;0.001),'Реестр рисков'!$B$9&amp;" ","")&amp;IF(AND(ABS('Реестр рисков'!$G$10-0.3)&lt;0.001,ABS('Реестр рисков'!$H$10-0.9)&lt;0.001),'Реестр рисков'!$B$10&amp;" ","")&amp;IF(AND(ABS('Реестр рисков'!$G$11-0.3)&lt;0.001,ABS('Реестр рисков'!$H$11-0.9)&lt;0.001),'Реестр рисков'!$B$11&amp;" ","")&amp;IF(AND(ABS('Реестр рисков'!$G$12-0.3)&lt;0.001,ABS('Реестр рисков'!$H$12-0.9)&lt;0.001),'Реестр рисков'!$B$12&amp;" ","")&amp;IF(AND(ABS('Реестр рисков'!$G$13-0.3)&lt;0.001,ABS('Реестр рисков'!$H$13-0.9)&lt;0.001),'Реестр рисков'!$B$13&amp;" ","")&amp;IF(AND(ABS('Реестр рисков'!$G$14-0.3)&lt;0.001,ABS('Реестр рисков'!$H$14-0.9)&lt;0.001),'Реестр рисков'!$B$14&amp;" ","")&amp;IF(AND(ABS('Реестр рисков'!$G$15-0.3)&lt;0.001,ABS('Реестр рисков'!$H$15-0.9)&lt;0.001),'Реестр рисков'!$B$15&amp;" ","")&amp;IF(AND(ABS('Реестр рисков'!$G$16-0.3)&lt;0.001,ABS('Реестр рисков'!$H$16-0.9)&lt;0.001),'Реестр рисков'!$B$16&amp;" ","")&amp;IF(AND(ABS('Реестр рисков'!$G$17-0.3)&lt;0.001,ABS('Реестр рисков'!$H$17-0.9)&lt;0.001),'Реестр рисков'!$B$17&amp;" ","")&amp;IF(AND(ABS('Реестр рисков'!$G$18-0.3)&lt;0.001,ABS('Реестр рисков'!$H$18-0.9)&lt;0.001),'Реестр рисков'!$B$18&amp;" ","")&amp;IF(AND(ABS('Реестр рисков'!$G$19-0.3)&lt;0.001,ABS('Реестр рисков'!$H$19-0.9)&lt;0.001),'Реестр рисков'!$B$19&amp;" ","")&amp;IF(AND(ABS('Реестр рисков'!$G$20-0.3)&lt;0.001,ABS('Реестр рисков'!$H$20-0.9)&lt;0.001),'Реестр рисков'!$B$20&amp;" ","")&amp;IF(AND(ABS('Реестр рисков'!$G$21-0.3)&lt;0.001,ABS('Реестр рисков'!$H$21-0.9)&lt;0.001),'Реестр рисков'!$B$21&amp;" ","")&amp;IF(AND(ABS('Реестр рисков'!$G$22-0.3)&lt;0.001,ABS('Реестр рисков'!$H$22-0.9)&lt;0.001),'Реестр рисков'!$B$22&amp;" ","")&amp;IF(AND(ABS('Реестр рисков'!$G$23-0.3)&lt;0.001,ABS('Реестр рисков'!$H$23-0.9)&lt;0.001),'Реестр рисков'!$B$23&amp;" ",""))</f>
        <v>R13</v>
      </c>
      <c r="F6" s="31" t="str">
        <f>TRIM(IF(AND(ABS('Реестр рисков'!$G$5-0.4)&lt;0.001,ABS('Реестр рисков'!$H$5-0.9)&lt;0.001),'Реестр рисков'!$B$5&amp;" ","")&amp;IF(AND(ABS('Реестр рисков'!$G$6-0.4)&lt;0.001,ABS('Реестр рисков'!$H$6-0.9)&lt;0.001),'Реестр рисков'!$B$6&amp;" ","")&amp;IF(AND(ABS('Реестр рисков'!$G$7-0.4)&lt;0.001,ABS('Реестр рисков'!$H$7-0.9)&lt;0.001),'Реестр рисков'!$B$7&amp;" ","")&amp;IF(AND(ABS('Реестр рисков'!$G$8-0.4)&lt;0.001,ABS('Реестр рисков'!$H$8-0.9)&lt;0.001),'Реестр рисков'!$B$8&amp;" ","")&amp;IF(AND(ABS('Реестр рисков'!$G$9-0.4)&lt;0.001,ABS('Реестр рисков'!$H$9-0.9)&lt;0.001),'Реестр рисков'!$B$9&amp;" ","")&amp;IF(AND(ABS('Реестр рисков'!$G$10-0.4)&lt;0.001,ABS('Реестр рисков'!$H$10-0.9)&lt;0.001),'Реестр рисков'!$B$10&amp;" ","")&amp;IF(AND(ABS('Реестр рисков'!$G$11-0.4)&lt;0.001,ABS('Реестр рисков'!$H$11-0.9)&lt;0.001),'Реестр рисков'!$B$11&amp;" ","")&amp;IF(AND(ABS('Реестр рисков'!$G$12-0.4)&lt;0.001,ABS('Реестр рисков'!$H$12-0.9)&lt;0.001),'Реестр рисков'!$B$12&amp;" ","")&amp;IF(AND(ABS('Реестр рисков'!$G$13-0.4)&lt;0.001,ABS('Реестр рисков'!$H$13-0.9)&lt;0.001),'Реестр рисков'!$B$13&amp;" ","")&amp;IF(AND(ABS('Реестр рисков'!$G$14-0.4)&lt;0.001,ABS('Реестр рисков'!$H$14-0.9)&lt;0.001),'Реестр рисков'!$B$14&amp;" ","")&amp;IF(AND(ABS('Реестр рисков'!$G$15-0.4)&lt;0.001,ABS('Реестр рисков'!$H$15-0.9)&lt;0.001),'Реестр рисков'!$B$15&amp;" ","")&amp;IF(AND(ABS('Реестр рисков'!$G$16-0.4)&lt;0.001,ABS('Реестр рисков'!$H$16-0.9)&lt;0.001),'Реестр рисков'!$B$16&amp;" ","")&amp;IF(AND(ABS('Реестр рисков'!$G$17-0.4)&lt;0.001,ABS('Реестр рисков'!$H$17-0.9)&lt;0.001),'Реестр рисков'!$B$17&amp;" ","")&amp;IF(AND(ABS('Реестр рисков'!$G$18-0.4)&lt;0.001,ABS('Реестр рисков'!$H$18-0.9)&lt;0.001),'Реестр рисков'!$B$18&amp;" ","")&amp;IF(AND(ABS('Реестр рисков'!$G$19-0.4)&lt;0.001,ABS('Реестр рисков'!$H$19-0.9)&lt;0.001),'Реестр рисков'!$B$19&amp;" ","")&amp;IF(AND(ABS('Реестр рисков'!$G$20-0.4)&lt;0.001,ABS('Реестр рисков'!$H$20-0.9)&lt;0.001),'Реестр рисков'!$B$20&amp;" ","")&amp;IF(AND(ABS('Реестр рисков'!$G$21-0.4)&lt;0.001,ABS('Реестр рисков'!$H$21-0.9)&lt;0.001),'Реестр рисков'!$B$21&amp;" ","")&amp;IF(AND(ABS('Реестр рисков'!$G$22-0.4)&lt;0.001,ABS('Реестр рисков'!$H$22-0.9)&lt;0.001),'Реестр рисков'!$B$22&amp;" ","")&amp;IF(AND(ABS('Реестр рисков'!$G$23-0.4)&lt;0.001,ABS('Реестр рисков'!$H$23-0.9)&lt;0.001),'Реестр рисков'!$B$23&amp;" ",""))</f>
        <v/>
      </c>
      <c r="G6" s="31" t="str">
        <f>TRIM(IF(AND(ABS('Реестр рисков'!$G$5-0.5)&lt;0.001,ABS('Реестр рисков'!$H$5-0.9)&lt;0.001),'Реестр рисков'!$B$5&amp;" ","")&amp;IF(AND(ABS('Реестр рисков'!$G$6-0.5)&lt;0.001,ABS('Реестр рисков'!$H$6-0.9)&lt;0.001),'Реестр рисков'!$B$6&amp;" ","")&amp;IF(AND(ABS('Реестр рисков'!$G$7-0.5)&lt;0.001,ABS('Реестр рисков'!$H$7-0.9)&lt;0.001),'Реестр рисков'!$B$7&amp;" ","")&amp;IF(AND(ABS('Реестр рисков'!$G$8-0.5)&lt;0.001,ABS('Реестр рисков'!$H$8-0.9)&lt;0.001),'Реестр рисков'!$B$8&amp;" ","")&amp;IF(AND(ABS('Реестр рисков'!$G$9-0.5)&lt;0.001,ABS('Реестр рисков'!$H$9-0.9)&lt;0.001),'Реестр рисков'!$B$9&amp;" ","")&amp;IF(AND(ABS('Реестр рисков'!$G$10-0.5)&lt;0.001,ABS('Реестр рисков'!$H$10-0.9)&lt;0.001),'Реестр рисков'!$B$10&amp;" ","")&amp;IF(AND(ABS('Реестр рисков'!$G$11-0.5)&lt;0.001,ABS('Реестр рисков'!$H$11-0.9)&lt;0.001),'Реестр рисков'!$B$11&amp;" ","")&amp;IF(AND(ABS('Реестр рисков'!$G$12-0.5)&lt;0.001,ABS('Реестр рисков'!$H$12-0.9)&lt;0.001),'Реестр рисков'!$B$12&amp;" ","")&amp;IF(AND(ABS('Реестр рисков'!$G$13-0.5)&lt;0.001,ABS('Реестр рисков'!$H$13-0.9)&lt;0.001),'Реестр рисков'!$B$13&amp;" ","")&amp;IF(AND(ABS('Реестр рисков'!$G$14-0.5)&lt;0.001,ABS('Реестр рисков'!$H$14-0.9)&lt;0.001),'Реестр рисков'!$B$14&amp;" ","")&amp;IF(AND(ABS('Реестр рисков'!$G$15-0.5)&lt;0.001,ABS('Реестр рисков'!$H$15-0.9)&lt;0.001),'Реестр рисков'!$B$15&amp;" ","")&amp;IF(AND(ABS('Реестр рисков'!$G$16-0.5)&lt;0.001,ABS('Реестр рисков'!$H$16-0.9)&lt;0.001),'Реестр рисков'!$B$16&amp;" ","")&amp;IF(AND(ABS('Реестр рисков'!$G$17-0.5)&lt;0.001,ABS('Реестр рисков'!$H$17-0.9)&lt;0.001),'Реестр рисков'!$B$17&amp;" ","")&amp;IF(AND(ABS('Реестр рисков'!$G$18-0.5)&lt;0.001,ABS('Реестр рисков'!$H$18-0.9)&lt;0.001),'Реестр рисков'!$B$18&amp;" ","")&amp;IF(AND(ABS('Реестр рисков'!$G$19-0.5)&lt;0.001,ABS('Реестр рисков'!$H$19-0.9)&lt;0.001),'Реестр рисков'!$B$19&amp;" ","")&amp;IF(AND(ABS('Реестр рисков'!$G$20-0.5)&lt;0.001,ABS('Реестр рисков'!$H$20-0.9)&lt;0.001),'Реестр рисков'!$B$20&amp;" ","")&amp;IF(AND(ABS('Реестр рисков'!$G$21-0.5)&lt;0.001,ABS('Реестр рисков'!$H$21-0.9)&lt;0.001),'Реестр рисков'!$B$21&amp;" ","")&amp;IF(AND(ABS('Реестр рисков'!$G$22-0.5)&lt;0.001,ABS('Реестр рисков'!$H$22-0.9)&lt;0.001),'Реестр рисков'!$B$22&amp;" ","")&amp;IF(AND(ABS('Реестр рисков'!$G$23-0.5)&lt;0.001,ABS('Реестр рисков'!$H$23-0.9)&lt;0.001),'Реестр рисков'!$B$23&amp;" ",""))</f>
        <v/>
      </c>
      <c r="H6" s="32" t="str">
        <f>TRIM(IF(AND(ABS('Реестр рисков'!$G$5-0.6)&lt;0.001,ABS('Реестр рисков'!$H$5-0.9)&lt;0.001),'Реестр рисков'!$B$5&amp;" ","")&amp;IF(AND(ABS('Реестр рисков'!$G$6-0.6)&lt;0.001,ABS('Реестр рисков'!$H$6-0.9)&lt;0.001),'Реестр рисков'!$B$6&amp;" ","")&amp;IF(AND(ABS('Реестр рисков'!$G$7-0.6)&lt;0.001,ABS('Реестр рисков'!$H$7-0.9)&lt;0.001),'Реестр рисков'!$B$7&amp;" ","")&amp;IF(AND(ABS('Реестр рисков'!$G$8-0.6)&lt;0.001,ABS('Реестр рисков'!$H$8-0.9)&lt;0.001),'Реестр рисков'!$B$8&amp;" ","")&amp;IF(AND(ABS('Реестр рисков'!$G$9-0.6)&lt;0.001,ABS('Реестр рисков'!$H$9-0.9)&lt;0.001),'Реестр рисков'!$B$9&amp;" ","")&amp;IF(AND(ABS('Реестр рисков'!$G$10-0.6)&lt;0.001,ABS('Реестр рисков'!$H$10-0.9)&lt;0.001),'Реестр рисков'!$B$10&amp;" ","")&amp;IF(AND(ABS('Реестр рисков'!$G$11-0.6)&lt;0.001,ABS('Реестр рисков'!$H$11-0.9)&lt;0.001),'Реестр рисков'!$B$11&amp;" ","")&amp;IF(AND(ABS('Реестр рисков'!$G$12-0.6)&lt;0.001,ABS('Реестр рисков'!$H$12-0.9)&lt;0.001),'Реестр рисков'!$B$12&amp;" ","")&amp;IF(AND(ABS('Реестр рисков'!$G$13-0.6)&lt;0.001,ABS('Реестр рисков'!$H$13-0.9)&lt;0.001),'Реестр рисков'!$B$13&amp;" ","")&amp;IF(AND(ABS('Реестр рисков'!$G$14-0.6)&lt;0.001,ABS('Реестр рисков'!$H$14-0.9)&lt;0.001),'Реестр рисков'!$B$14&amp;" ","")&amp;IF(AND(ABS('Реестр рисков'!$G$15-0.6)&lt;0.001,ABS('Реестр рисков'!$H$15-0.9)&lt;0.001),'Реестр рисков'!$B$15&amp;" ","")&amp;IF(AND(ABS('Реестр рисков'!$G$16-0.6)&lt;0.001,ABS('Реестр рисков'!$H$16-0.9)&lt;0.001),'Реестр рисков'!$B$16&amp;" ","")&amp;IF(AND(ABS('Реестр рисков'!$G$17-0.6)&lt;0.001,ABS('Реестр рисков'!$H$17-0.9)&lt;0.001),'Реестр рисков'!$B$17&amp;" ","")&amp;IF(AND(ABS('Реестр рисков'!$G$18-0.6)&lt;0.001,ABS('Реестр рисков'!$H$18-0.9)&lt;0.001),'Реестр рисков'!$B$18&amp;" ","")&amp;IF(AND(ABS('Реестр рисков'!$G$19-0.6)&lt;0.001,ABS('Реестр рисков'!$H$19-0.9)&lt;0.001),'Реестр рисков'!$B$19&amp;" ","")&amp;IF(AND(ABS('Реестр рисков'!$G$20-0.6)&lt;0.001,ABS('Реестр рисков'!$H$20-0.9)&lt;0.001),'Реестр рисков'!$B$20&amp;" ","")&amp;IF(AND(ABS('Реестр рисков'!$G$21-0.6)&lt;0.001,ABS('Реестр рисков'!$H$21-0.9)&lt;0.001),'Реестр рисков'!$B$21&amp;" ","")&amp;IF(AND(ABS('Реестр рисков'!$G$22-0.6)&lt;0.001,ABS('Реестр рисков'!$H$22-0.9)&lt;0.001),'Реестр рисков'!$B$22&amp;" ","")&amp;IF(AND(ABS('Реестр рисков'!$G$23-0.6)&lt;0.001,ABS('Реестр рисков'!$H$23-0.9)&lt;0.001),'Реестр рисков'!$B$23&amp;" ",""))</f>
        <v>R2</v>
      </c>
      <c r="I6" s="32" t="str">
        <f>TRIM(IF(AND(ABS('Реестр рисков'!$G$5-0.7)&lt;0.001,ABS('Реестр рисков'!$H$5-0.9)&lt;0.001),'Реестр рисков'!$B$5&amp;" ","")&amp;IF(AND(ABS('Реестр рисков'!$G$6-0.7)&lt;0.001,ABS('Реестр рисков'!$H$6-0.9)&lt;0.001),'Реестр рисков'!$B$6&amp;" ","")&amp;IF(AND(ABS('Реестр рисков'!$G$7-0.7)&lt;0.001,ABS('Реестр рисков'!$H$7-0.9)&lt;0.001),'Реестр рисков'!$B$7&amp;" ","")&amp;IF(AND(ABS('Реестр рисков'!$G$8-0.7)&lt;0.001,ABS('Реестр рисков'!$H$8-0.9)&lt;0.001),'Реестр рисков'!$B$8&amp;" ","")&amp;IF(AND(ABS('Реестр рисков'!$G$9-0.7)&lt;0.001,ABS('Реестр рисков'!$H$9-0.9)&lt;0.001),'Реестр рисков'!$B$9&amp;" ","")&amp;IF(AND(ABS('Реестр рисков'!$G$10-0.7)&lt;0.001,ABS('Реестр рисков'!$H$10-0.9)&lt;0.001),'Реестр рисков'!$B$10&amp;" ","")&amp;IF(AND(ABS('Реестр рисков'!$G$11-0.7)&lt;0.001,ABS('Реестр рисков'!$H$11-0.9)&lt;0.001),'Реестр рисков'!$B$11&amp;" ","")&amp;IF(AND(ABS('Реестр рисков'!$G$12-0.7)&lt;0.001,ABS('Реестр рисков'!$H$12-0.9)&lt;0.001),'Реестр рисков'!$B$12&amp;" ","")&amp;IF(AND(ABS('Реестр рисков'!$G$13-0.7)&lt;0.001,ABS('Реестр рисков'!$H$13-0.9)&lt;0.001),'Реестр рисков'!$B$13&amp;" ","")&amp;IF(AND(ABS('Реестр рисков'!$G$14-0.7)&lt;0.001,ABS('Реестр рисков'!$H$14-0.9)&lt;0.001),'Реестр рисков'!$B$14&amp;" ","")&amp;IF(AND(ABS('Реестр рисков'!$G$15-0.7)&lt;0.001,ABS('Реестр рисков'!$H$15-0.9)&lt;0.001),'Реестр рисков'!$B$15&amp;" ","")&amp;IF(AND(ABS('Реестр рисков'!$G$16-0.7)&lt;0.001,ABS('Реестр рисков'!$H$16-0.9)&lt;0.001),'Реестр рисков'!$B$16&amp;" ","")&amp;IF(AND(ABS('Реестр рисков'!$G$17-0.7)&lt;0.001,ABS('Реестр рисков'!$H$17-0.9)&lt;0.001),'Реестр рисков'!$B$17&amp;" ","")&amp;IF(AND(ABS('Реестр рисков'!$G$18-0.7)&lt;0.001,ABS('Реестр рисков'!$H$18-0.9)&lt;0.001),'Реестр рисков'!$B$18&amp;" ","")&amp;IF(AND(ABS('Реестр рисков'!$G$19-0.7)&lt;0.001,ABS('Реестр рисков'!$H$19-0.9)&lt;0.001),'Реестр рисков'!$B$19&amp;" ","")&amp;IF(AND(ABS('Реестр рисков'!$G$20-0.7)&lt;0.001,ABS('Реестр рисков'!$H$20-0.9)&lt;0.001),'Реестр рисков'!$B$20&amp;" ","")&amp;IF(AND(ABS('Реестр рисков'!$G$21-0.7)&lt;0.001,ABS('Реестр рисков'!$H$21-0.9)&lt;0.001),'Реестр рисков'!$B$21&amp;" ","")&amp;IF(AND(ABS('Реестр рисков'!$G$22-0.7)&lt;0.001,ABS('Реестр рисков'!$H$22-0.9)&lt;0.001),'Реестр рисков'!$B$22&amp;" ","")&amp;IF(AND(ABS('Реестр рисков'!$G$23-0.7)&lt;0.001,ABS('Реестр рисков'!$H$23-0.9)&lt;0.001),'Реестр рисков'!$B$23&amp;" ",""))</f>
        <v>R3</v>
      </c>
      <c r="J6" s="32" t="str">
        <f>TRIM(IF(AND(ABS('Реестр рисков'!$G$5-0.8)&lt;0.001,ABS('Реестр рисков'!$H$5-0.9)&lt;0.001),'Реестр рисков'!$B$5&amp;" ","")&amp;IF(AND(ABS('Реестр рисков'!$G$6-0.8)&lt;0.001,ABS('Реестр рисков'!$H$6-0.9)&lt;0.001),'Реестр рисков'!$B$6&amp;" ","")&amp;IF(AND(ABS('Реестр рисков'!$G$7-0.8)&lt;0.001,ABS('Реестр рисков'!$H$7-0.9)&lt;0.001),'Реестр рисков'!$B$7&amp;" ","")&amp;IF(AND(ABS('Реестр рисков'!$G$8-0.8)&lt;0.001,ABS('Реестр рисков'!$H$8-0.9)&lt;0.001),'Реестр рисков'!$B$8&amp;" ","")&amp;IF(AND(ABS('Реестр рисков'!$G$9-0.8)&lt;0.001,ABS('Реестр рисков'!$H$9-0.9)&lt;0.001),'Реестр рисков'!$B$9&amp;" ","")&amp;IF(AND(ABS('Реестр рисков'!$G$10-0.8)&lt;0.001,ABS('Реестр рисков'!$H$10-0.9)&lt;0.001),'Реестр рисков'!$B$10&amp;" ","")&amp;IF(AND(ABS('Реестр рисков'!$G$11-0.8)&lt;0.001,ABS('Реестр рисков'!$H$11-0.9)&lt;0.001),'Реестр рисков'!$B$11&amp;" ","")&amp;IF(AND(ABS('Реестр рисков'!$G$12-0.8)&lt;0.001,ABS('Реестр рисков'!$H$12-0.9)&lt;0.001),'Реестр рисков'!$B$12&amp;" ","")&amp;IF(AND(ABS('Реестр рисков'!$G$13-0.8)&lt;0.001,ABS('Реестр рисков'!$H$13-0.9)&lt;0.001),'Реестр рисков'!$B$13&amp;" ","")&amp;IF(AND(ABS('Реестр рисков'!$G$14-0.8)&lt;0.001,ABS('Реестр рисков'!$H$14-0.9)&lt;0.001),'Реестр рисков'!$B$14&amp;" ","")&amp;IF(AND(ABS('Реестр рисков'!$G$15-0.8)&lt;0.001,ABS('Реестр рисков'!$H$15-0.9)&lt;0.001),'Реестр рисков'!$B$15&amp;" ","")&amp;IF(AND(ABS('Реестр рисков'!$G$16-0.8)&lt;0.001,ABS('Реестр рисков'!$H$16-0.9)&lt;0.001),'Реестр рисков'!$B$16&amp;" ","")&amp;IF(AND(ABS('Реестр рисков'!$G$17-0.8)&lt;0.001,ABS('Реестр рисков'!$H$17-0.9)&lt;0.001),'Реестр рисков'!$B$17&amp;" ","")&amp;IF(AND(ABS('Реестр рисков'!$G$18-0.8)&lt;0.001,ABS('Реестр рисков'!$H$18-0.9)&lt;0.001),'Реестр рисков'!$B$18&amp;" ","")&amp;IF(AND(ABS('Реестр рисков'!$G$19-0.8)&lt;0.001,ABS('Реестр рисков'!$H$19-0.9)&lt;0.001),'Реестр рисков'!$B$19&amp;" ","")&amp;IF(AND(ABS('Реестр рисков'!$G$20-0.8)&lt;0.001,ABS('Реестр рисков'!$H$20-0.9)&lt;0.001),'Реестр рисков'!$B$20&amp;" ","")&amp;IF(AND(ABS('Реестр рисков'!$G$21-0.8)&lt;0.001,ABS('Реестр рисков'!$H$21-0.9)&lt;0.001),'Реестр рисков'!$B$21&amp;" ","")&amp;IF(AND(ABS('Реестр рисков'!$G$22-0.8)&lt;0.001,ABS('Реестр рисков'!$H$22-0.9)&lt;0.001),'Реестр рисков'!$B$22&amp;" ","")&amp;IF(AND(ABS('Реестр рисков'!$G$23-0.8)&lt;0.001,ABS('Реестр рисков'!$H$23-0.9)&lt;0.001),'Реестр рисков'!$B$23&amp;" ",""))</f>
        <v/>
      </c>
      <c r="K6" s="32" t="str">
        <f>TRIM(IF(AND(ABS('Реестр рисков'!$G$5-0.9)&lt;0.001,ABS('Реестр рисков'!$H$5-0.9)&lt;0.001),'Реестр рисков'!$B$5&amp;" ","")&amp;IF(AND(ABS('Реестр рисков'!$G$6-0.9)&lt;0.001,ABS('Реестр рисков'!$H$6-0.9)&lt;0.001),'Реестр рисков'!$B$6&amp;" ","")&amp;IF(AND(ABS('Реестр рисков'!$G$7-0.9)&lt;0.001,ABS('Реестр рисков'!$H$7-0.9)&lt;0.001),'Реестр рисков'!$B$7&amp;" ","")&amp;IF(AND(ABS('Реестр рисков'!$G$8-0.9)&lt;0.001,ABS('Реестр рисков'!$H$8-0.9)&lt;0.001),'Реестр рисков'!$B$8&amp;" ","")&amp;IF(AND(ABS('Реестр рисков'!$G$9-0.9)&lt;0.001,ABS('Реестр рисков'!$H$9-0.9)&lt;0.001),'Реестр рисков'!$B$9&amp;" ","")&amp;IF(AND(ABS('Реестр рисков'!$G$10-0.9)&lt;0.001,ABS('Реестр рисков'!$H$10-0.9)&lt;0.001),'Реестр рисков'!$B$10&amp;" ","")&amp;IF(AND(ABS('Реестр рисков'!$G$11-0.9)&lt;0.001,ABS('Реестр рисков'!$H$11-0.9)&lt;0.001),'Реестр рисков'!$B$11&amp;" ","")&amp;IF(AND(ABS('Реестр рисков'!$G$12-0.9)&lt;0.001,ABS('Реестр рисков'!$H$12-0.9)&lt;0.001),'Реестр рисков'!$B$12&amp;" ","")&amp;IF(AND(ABS('Реестр рисков'!$G$13-0.9)&lt;0.001,ABS('Реестр рисков'!$H$13-0.9)&lt;0.001),'Реестр рисков'!$B$13&amp;" ","")&amp;IF(AND(ABS('Реестр рисков'!$G$14-0.9)&lt;0.001,ABS('Реестр рисков'!$H$14-0.9)&lt;0.001),'Реестр рисков'!$B$14&amp;" ","")&amp;IF(AND(ABS('Реестр рисков'!$G$15-0.9)&lt;0.001,ABS('Реестр рисков'!$H$15-0.9)&lt;0.001),'Реестр рисков'!$B$15&amp;" ","")&amp;IF(AND(ABS('Реестр рисков'!$G$16-0.9)&lt;0.001,ABS('Реестр рисков'!$H$16-0.9)&lt;0.001),'Реестр рисков'!$B$16&amp;" ","")&amp;IF(AND(ABS('Реестр рисков'!$G$17-0.9)&lt;0.001,ABS('Реестр рисков'!$H$17-0.9)&lt;0.001),'Реестр рисков'!$B$17&amp;" ","")&amp;IF(AND(ABS('Реестр рисков'!$G$18-0.9)&lt;0.001,ABS('Реестр рисков'!$H$18-0.9)&lt;0.001),'Реестр рисков'!$B$18&amp;" ","")&amp;IF(AND(ABS('Реестр рисков'!$G$19-0.9)&lt;0.001,ABS('Реестр рисков'!$H$19-0.9)&lt;0.001),'Реестр рисков'!$B$19&amp;" ","")&amp;IF(AND(ABS('Реестр рисков'!$G$20-0.9)&lt;0.001,ABS('Реестр рисков'!$H$20-0.9)&lt;0.001),'Реестр рисков'!$B$20&amp;" ","")&amp;IF(AND(ABS('Реестр рисков'!$G$21-0.9)&lt;0.001,ABS('Реестр рисков'!$H$21-0.9)&lt;0.001),'Реестр рисков'!$B$21&amp;" ","")&amp;IF(AND(ABS('Реестр рисков'!$G$22-0.9)&lt;0.001,ABS('Реестр рисков'!$H$22-0.9)&lt;0.001),'Реестр рисков'!$B$22&amp;" ","")&amp;IF(AND(ABS('Реестр рисков'!$G$23-0.9)&lt;0.001,ABS('Реестр рисков'!$H$23-0.9)&lt;0.001),'Реестр рисков'!$B$23&amp;" ",""))</f>
        <v/>
      </c>
      <c r="L6" s="32" t="str">
        <f>TRIM(IF(AND(ABS('Реестр рисков'!$G$5-1)&lt;0.001,ABS('Реестр рисков'!$H$5-0.9)&lt;0.001),'Реестр рисков'!$B$5&amp;" ","")&amp;IF(AND(ABS('Реестр рисков'!$G$6-1)&lt;0.001,ABS('Реестр рисков'!$H$6-0.9)&lt;0.001),'Реестр рисков'!$B$6&amp;" ","")&amp;IF(AND(ABS('Реестр рисков'!$G$7-1)&lt;0.001,ABS('Реестр рисков'!$H$7-0.9)&lt;0.001),'Реестр рисков'!$B$7&amp;" ","")&amp;IF(AND(ABS('Реестр рисков'!$G$8-1)&lt;0.001,ABS('Реестр рисков'!$H$8-0.9)&lt;0.001),'Реестр рисков'!$B$8&amp;" ","")&amp;IF(AND(ABS('Реестр рисков'!$G$9-1)&lt;0.001,ABS('Реестр рисков'!$H$9-0.9)&lt;0.001),'Реестр рисков'!$B$9&amp;" ","")&amp;IF(AND(ABS('Реестр рисков'!$G$10-1)&lt;0.001,ABS('Реестр рисков'!$H$10-0.9)&lt;0.001),'Реестр рисков'!$B$10&amp;" ","")&amp;IF(AND(ABS('Реестр рисков'!$G$11-1)&lt;0.001,ABS('Реестр рисков'!$H$11-0.9)&lt;0.001),'Реестр рисков'!$B$11&amp;" ","")&amp;IF(AND(ABS('Реестр рисков'!$G$12-1)&lt;0.001,ABS('Реестр рисков'!$H$12-0.9)&lt;0.001),'Реестр рисков'!$B$12&amp;" ","")&amp;IF(AND(ABS('Реестр рисков'!$G$13-1)&lt;0.001,ABS('Реестр рисков'!$H$13-0.9)&lt;0.001),'Реестр рисков'!$B$13&amp;" ","")&amp;IF(AND(ABS('Реестр рисков'!$G$14-1)&lt;0.001,ABS('Реестр рисков'!$H$14-0.9)&lt;0.001),'Реестр рисков'!$B$14&amp;" ","")&amp;IF(AND(ABS('Реестр рисков'!$G$15-1)&lt;0.001,ABS('Реестр рисков'!$H$15-0.9)&lt;0.001),'Реестр рисков'!$B$15&amp;" ","")&amp;IF(AND(ABS('Реестр рисков'!$G$16-1)&lt;0.001,ABS('Реестр рисков'!$H$16-0.9)&lt;0.001),'Реестр рисков'!$B$16&amp;" ","")&amp;IF(AND(ABS('Реестр рисков'!$G$17-1)&lt;0.001,ABS('Реестр рисков'!$H$17-0.9)&lt;0.001),'Реестр рисков'!$B$17&amp;" ","")&amp;IF(AND(ABS('Реестр рисков'!$G$18-1)&lt;0.001,ABS('Реестр рисков'!$H$18-0.9)&lt;0.001),'Реестр рисков'!$B$18&amp;" ","")&amp;IF(AND(ABS('Реестр рисков'!$G$19-1)&lt;0.001,ABS('Реестр рисков'!$H$19-0.9)&lt;0.001),'Реестр рисков'!$B$19&amp;" ","")&amp;IF(AND(ABS('Реестр рисков'!$G$20-1)&lt;0.001,ABS('Реестр рисков'!$H$20-0.9)&lt;0.001),'Реестр рисков'!$B$20&amp;" ","")&amp;IF(AND(ABS('Реестр рисков'!$G$21-1)&lt;0.001,ABS('Реестр рисков'!$H$21-0.9)&lt;0.001),'Реестр рисков'!$B$21&amp;" ","")&amp;IF(AND(ABS('Реестр рисков'!$G$22-1)&lt;0.001,ABS('Реестр рисков'!$H$22-0.9)&lt;0.001),'Реестр рисков'!$B$22&amp;" ","")&amp;IF(AND(ABS('Реестр рисков'!$G$23-1)&lt;0.001,ABS('Реестр рисков'!$H$23-0.9)&lt;0.001),'Реестр рисков'!$B$23&amp;" ",""))</f>
        <v/>
      </c>
    </row>
    <row r="7" spans="1:12" ht="30" customHeight="1" x14ac:dyDescent="0.45">
      <c r="A7" s="5"/>
      <c r="B7" s="29">
        <v>0.8</v>
      </c>
      <c r="C7" s="30" t="str">
        <f>TRIM(IF(AND(ABS('Реестр рисков'!$G$5-0.1)&lt;0.001,ABS('Реестр рисков'!$H$5-0.8)&lt;0.001),'Реестр рисков'!$B$5&amp;" ","")&amp;IF(AND(ABS('Реестр рисков'!$G$6-0.1)&lt;0.001,ABS('Реестр рисков'!$H$6-0.8)&lt;0.001),'Реестр рисков'!$B$6&amp;" ","")&amp;IF(AND(ABS('Реестр рисков'!$G$7-0.1)&lt;0.001,ABS('Реестр рисков'!$H$7-0.8)&lt;0.001),'Реестр рисков'!$B$7&amp;" ","")&amp;IF(AND(ABS('Реестр рисков'!$G$8-0.1)&lt;0.001,ABS('Реестр рисков'!$H$8-0.8)&lt;0.001),'Реестр рисков'!$B$8&amp;" ","")&amp;IF(AND(ABS('Реестр рисков'!$G$9-0.1)&lt;0.001,ABS('Реестр рисков'!$H$9-0.8)&lt;0.001),'Реестр рисков'!$B$9&amp;" ","")&amp;IF(AND(ABS('Реестр рисков'!$G$10-0.1)&lt;0.001,ABS('Реестр рисков'!$H$10-0.8)&lt;0.001),'Реестр рисков'!$B$10&amp;" ","")&amp;IF(AND(ABS('Реестр рисков'!$G$11-0.1)&lt;0.001,ABS('Реестр рисков'!$H$11-0.8)&lt;0.001),'Реестр рисков'!$B$11&amp;" ","")&amp;IF(AND(ABS('Реестр рисков'!$G$12-0.1)&lt;0.001,ABS('Реестр рисков'!$H$12-0.8)&lt;0.001),'Реестр рисков'!$B$12&amp;" ","")&amp;IF(AND(ABS('Реестр рисков'!$G$13-0.1)&lt;0.001,ABS('Реестр рисков'!$H$13-0.8)&lt;0.001),'Реестр рисков'!$B$13&amp;" ","")&amp;IF(AND(ABS('Реестр рисков'!$G$14-0.1)&lt;0.001,ABS('Реестр рисков'!$H$14-0.8)&lt;0.001),'Реестр рисков'!$B$14&amp;" ","")&amp;IF(AND(ABS('Реестр рисков'!$G$15-0.1)&lt;0.001,ABS('Реестр рисков'!$H$15-0.8)&lt;0.001),'Реестр рисков'!$B$15&amp;" ","")&amp;IF(AND(ABS('Реестр рисков'!$G$16-0.1)&lt;0.001,ABS('Реестр рисков'!$H$16-0.8)&lt;0.001),'Реестр рисков'!$B$16&amp;" ","")&amp;IF(AND(ABS('Реестр рисков'!$G$17-0.1)&lt;0.001,ABS('Реестр рисков'!$H$17-0.8)&lt;0.001),'Реестр рисков'!$B$17&amp;" ","")&amp;IF(AND(ABS('Реестр рисков'!$G$18-0.1)&lt;0.001,ABS('Реестр рисков'!$H$18-0.8)&lt;0.001),'Реестр рисков'!$B$18&amp;" ","")&amp;IF(AND(ABS('Реестр рисков'!$G$19-0.1)&lt;0.001,ABS('Реестр рисков'!$H$19-0.8)&lt;0.001),'Реестр рисков'!$B$19&amp;" ","")&amp;IF(AND(ABS('Реестр рисков'!$G$20-0.1)&lt;0.001,ABS('Реестр рисков'!$H$20-0.8)&lt;0.001),'Реестр рисков'!$B$20&amp;" ","")&amp;IF(AND(ABS('Реестр рисков'!$G$21-0.1)&lt;0.001,ABS('Реестр рисков'!$H$21-0.8)&lt;0.001),'Реестр рисков'!$B$21&amp;" ","")&amp;IF(AND(ABS('Реестр рисков'!$G$22-0.1)&lt;0.001,ABS('Реестр рисков'!$H$22-0.8)&lt;0.001),'Реестр рисков'!$B$22&amp;" ","")&amp;IF(AND(ABS('Реестр рисков'!$G$23-0.1)&lt;0.001,ABS('Реестр рисков'!$H$23-0.8)&lt;0.001),'Реестр рисков'!$B$23&amp;" ",""))</f>
        <v/>
      </c>
      <c r="D7" s="31" t="str">
        <f>TRIM(IF(AND(ABS('Реестр рисков'!$G$5-0.2)&lt;0.001,ABS('Реестр рисков'!$H$5-0.8)&lt;0.001),'Реестр рисков'!$B$5&amp;" ","")&amp;IF(AND(ABS('Реестр рисков'!$G$6-0.2)&lt;0.001,ABS('Реестр рисков'!$H$6-0.8)&lt;0.001),'Реестр рисков'!$B$6&amp;" ","")&amp;IF(AND(ABS('Реестр рисков'!$G$7-0.2)&lt;0.001,ABS('Реестр рисков'!$H$7-0.8)&lt;0.001),'Реестр рисков'!$B$7&amp;" ","")&amp;IF(AND(ABS('Реестр рисков'!$G$8-0.2)&lt;0.001,ABS('Реестр рисков'!$H$8-0.8)&lt;0.001),'Реестр рисков'!$B$8&amp;" ","")&amp;IF(AND(ABS('Реестр рисков'!$G$9-0.2)&lt;0.001,ABS('Реестр рисков'!$H$9-0.8)&lt;0.001),'Реестр рисков'!$B$9&amp;" ","")&amp;IF(AND(ABS('Реестр рисков'!$G$10-0.2)&lt;0.001,ABS('Реестр рисков'!$H$10-0.8)&lt;0.001),'Реестр рисков'!$B$10&amp;" ","")&amp;IF(AND(ABS('Реестр рисков'!$G$11-0.2)&lt;0.001,ABS('Реестр рисков'!$H$11-0.8)&lt;0.001),'Реестр рисков'!$B$11&amp;" ","")&amp;IF(AND(ABS('Реестр рисков'!$G$12-0.2)&lt;0.001,ABS('Реестр рисков'!$H$12-0.8)&lt;0.001),'Реестр рисков'!$B$12&amp;" ","")&amp;IF(AND(ABS('Реестр рисков'!$G$13-0.2)&lt;0.001,ABS('Реестр рисков'!$H$13-0.8)&lt;0.001),'Реестр рисков'!$B$13&amp;" ","")&amp;IF(AND(ABS('Реестр рисков'!$G$14-0.2)&lt;0.001,ABS('Реестр рисков'!$H$14-0.8)&lt;0.001),'Реестр рисков'!$B$14&amp;" ","")&amp;IF(AND(ABS('Реестр рисков'!$G$15-0.2)&lt;0.001,ABS('Реестр рисков'!$H$15-0.8)&lt;0.001),'Реестр рисков'!$B$15&amp;" ","")&amp;IF(AND(ABS('Реестр рисков'!$G$16-0.2)&lt;0.001,ABS('Реестр рисков'!$H$16-0.8)&lt;0.001),'Реестр рисков'!$B$16&amp;" ","")&amp;IF(AND(ABS('Реестр рисков'!$G$17-0.2)&lt;0.001,ABS('Реестр рисков'!$H$17-0.8)&lt;0.001),'Реестр рисков'!$B$17&amp;" ","")&amp;IF(AND(ABS('Реестр рисков'!$G$18-0.2)&lt;0.001,ABS('Реестр рисков'!$H$18-0.8)&lt;0.001),'Реестр рисков'!$B$18&amp;" ","")&amp;IF(AND(ABS('Реестр рисков'!$G$19-0.2)&lt;0.001,ABS('Реестр рисков'!$H$19-0.8)&lt;0.001),'Реестр рисков'!$B$19&amp;" ","")&amp;IF(AND(ABS('Реестр рисков'!$G$20-0.2)&lt;0.001,ABS('Реестр рисков'!$H$20-0.8)&lt;0.001),'Реестр рисков'!$B$20&amp;" ","")&amp;IF(AND(ABS('Реестр рисков'!$G$21-0.2)&lt;0.001,ABS('Реестр рисков'!$H$21-0.8)&lt;0.001),'Реестр рисков'!$B$21&amp;" ","")&amp;IF(AND(ABS('Реестр рисков'!$G$22-0.2)&lt;0.001,ABS('Реестр рисков'!$H$22-0.8)&lt;0.001),'Реестр рисков'!$B$22&amp;" ","")&amp;IF(AND(ABS('Реестр рисков'!$G$23-0.2)&lt;0.001,ABS('Реестр рисков'!$H$23-0.8)&lt;0.001),'Реестр рисков'!$B$23&amp;" ",""))</f>
        <v/>
      </c>
      <c r="E7" s="31" t="str">
        <f>TRIM(IF(AND(ABS('Реестр рисков'!$G$5-0.3)&lt;0.001,ABS('Реестр рисков'!$H$5-0.8)&lt;0.001),'Реестр рисков'!$B$5&amp;" ","")&amp;IF(AND(ABS('Реестр рисков'!$G$6-0.3)&lt;0.001,ABS('Реестр рисков'!$H$6-0.8)&lt;0.001),'Реестр рисков'!$B$6&amp;" ","")&amp;IF(AND(ABS('Реестр рисков'!$G$7-0.3)&lt;0.001,ABS('Реестр рисков'!$H$7-0.8)&lt;0.001),'Реестр рисков'!$B$7&amp;" ","")&amp;IF(AND(ABS('Реестр рисков'!$G$8-0.3)&lt;0.001,ABS('Реестр рисков'!$H$8-0.8)&lt;0.001),'Реестр рисков'!$B$8&amp;" ","")&amp;IF(AND(ABS('Реестр рисков'!$G$9-0.3)&lt;0.001,ABS('Реестр рисков'!$H$9-0.8)&lt;0.001),'Реестр рисков'!$B$9&amp;" ","")&amp;IF(AND(ABS('Реестр рисков'!$G$10-0.3)&lt;0.001,ABS('Реестр рисков'!$H$10-0.8)&lt;0.001),'Реестр рисков'!$B$10&amp;" ","")&amp;IF(AND(ABS('Реестр рисков'!$G$11-0.3)&lt;0.001,ABS('Реестр рисков'!$H$11-0.8)&lt;0.001),'Реестр рисков'!$B$11&amp;" ","")&amp;IF(AND(ABS('Реестр рисков'!$G$12-0.3)&lt;0.001,ABS('Реестр рисков'!$H$12-0.8)&lt;0.001),'Реестр рисков'!$B$12&amp;" ","")&amp;IF(AND(ABS('Реестр рисков'!$G$13-0.3)&lt;0.001,ABS('Реестр рисков'!$H$13-0.8)&lt;0.001),'Реестр рисков'!$B$13&amp;" ","")&amp;IF(AND(ABS('Реестр рисков'!$G$14-0.3)&lt;0.001,ABS('Реестр рисков'!$H$14-0.8)&lt;0.001),'Реестр рисков'!$B$14&amp;" ","")&amp;IF(AND(ABS('Реестр рисков'!$G$15-0.3)&lt;0.001,ABS('Реестр рисков'!$H$15-0.8)&lt;0.001),'Реестр рисков'!$B$15&amp;" ","")&amp;IF(AND(ABS('Реестр рисков'!$G$16-0.3)&lt;0.001,ABS('Реестр рисков'!$H$16-0.8)&lt;0.001),'Реестр рисков'!$B$16&amp;" ","")&amp;IF(AND(ABS('Реестр рисков'!$G$17-0.3)&lt;0.001,ABS('Реестр рисков'!$H$17-0.8)&lt;0.001),'Реестр рисков'!$B$17&amp;" ","")&amp;IF(AND(ABS('Реестр рисков'!$G$18-0.3)&lt;0.001,ABS('Реестр рисков'!$H$18-0.8)&lt;0.001),'Реестр рисков'!$B$18&amp;" ","")&amp;IF(AND(ABS('Реестр рисков'!$G$19-0.3)&lt;0.001,ABS('Реестр рисков'!$H$19-0.8)&lt;0.001),'Реестр рисков'!$B$19&amp;" ","")&amp;IF(AND(ABS('Реестр рисков'!$G$20-0.3)&lt;0.001,ABS('Реестр рисков'!$H$20-0.8)&lt;0.001),'Реестр рисков'!$B$20&amp;" ","")&amp;IF(AND(ABS('Реестр рисков'!$G$21-0.3)&lt;0.001,ABS('Реестр рисков'!$H$21-0.8)&lt;0.001),'Реестр рисков'!$B$21&amp;" ","")&amp;IF(AND(ABS('Реестр рисков'!$G$22-0.3)&lt;0.001,ABS('Реестр рисков'!$H$22-0.8)&lt;0.001),'Реестр рисков'!$B$22&amp;" ","")&amp;IF(AND(ABS('Реестр рисков'!$G$23-0.3)&lt;0.001,ABS('Реестр рисков'!$H$23-0.8)&lt;0.001),'Реестр рисков'!$B$23&amp;" ",""))</f>
        <v>R12</v>
      </c>
      <c r="F7" s="31" t="str">
        <f>TRIM(IF(AND(ABS('Реестр рисков'!$G$5-0.4)&lt;0.001,ABS('Реестр рисков'!$H$5-0.8)&lt;0.001),'Реестр рисков'!$B$5&amp;" ","")&amp;IF(AND(ABS('Реестр рисков'!$G$6-0.4)&lt;0.001,ABS('Реестр рисков'!$H$6-0.8)&lt;0.001),'Реестр рисков'!$B$6&amp;" ","")&amp;IF(AND(ABS('Реестр рисков'!$G$7-0.4)&lt;0.001,ABS('Реестр рисков'!$H$7-0.8)&lt;0.001),'Реестр рисков'!$B$7&amp;" ","")&amp;IF(AND(ABS('Реестр рисков'!$G$8-0.4)&lt;0.001,ABS('Реестр рисков'!$H$8-0.8)&lt;0.001),'Реестр рисков'!$B$8&amp;" ","")&amp;IF(AND(ABS('Реестр рисков'!$G$9-0.4)&lt;0.001,ABS('Реестр рисков'!$H$9-0.8)&lt;0.001),'Реестр рисков'!$B$9&amp;" ","")&amp;IF(AND(ABS('Реестр рисков'!$G$10-0.4)&lt;0.001,ABS('Реестр рисков'!$H$10-0.8)&lt;0.001),'Реестр рисков'!$B$10&amp;" ","")&amp;IF(AND(ABS('Реестр рисков'!$G$11-0.4)&lt;0.001,ABS('Реестр рисков'!$H$11-0.8)&lt;0.001),'Реестр рисков'!$B$11&amp;" ","")&amp;IF(AND(ABS('Реестр рисков'!$G$12-0.4)&lt;0.001,ABS('Реестр рисков'!$H$12-0.8)&lt;0.001),'Реестр рисков'!$B$12&amp;" ","")&amp;IF(AND(ABS('Реестр рисков'!$G$13-0.4)&lt;0.001,ABS('Реестр рисков'!$H$13-0.8)&lt;0.001),'Реестр рисков'!$B$13&amp;" ","")&amp;IF(AND(ABS('Реестр рисков'!$G$14-0.4)&lt;0.001,ABS('Реестр рисков'!$H$14-0.8)&lt;0.001),'Реестр рисков'!$B$14&amp;" ","")&amp;IF(AND(ABS('Реестр рисков'!$G$15-0.4)&lt;0.001,ABS('Реестр рисков'!$H$15-0.8)&lt;0.001),'Реестр рисков'!$B$15&amp;" ","")&amp;IF(AND(ABS('Реестр рисков'!$G$16-0.4)&lt;0.001,ABS('Реестр рисков'!$H$16-0.8)&lt;0.001),'Реестр рисков'!$B$16&amp;" ","")&amp;IF(AND(ABS('Реестр рисков'!$G$17-0.4)&lt;0.001,ABS('Реестр рисков'!$H$17-0.8)&lt;0.001),'Реестр рисков'!$B$17&amp;" ","")&amp;IF(AND(ABS('Реестр рисков'!$G$18-0.4)&lt;0.001,ABS('Реестр рисков'!$H$18-0.8)&lt;0.001),'Реестр рисков'!$B$18&amp;" ","")&amp;IF(AND(ABS('Реестр рисков'!$G$19-0.4)&lt;0.001,ABS('Реестр рисков'!$H$19-0.8)&lt;0.001),'Реестр рисков'!$B$19&amp;" ","")&amp;IF(AND(ABS('Реестр рисков'!$G$20-0.4)&lt;0.001,ABS('Реестр рисков'!$H$20-0.8)&lt;0.001),'Реестр рисков'!$B$20&amp;" ","")&amp;IF(AND(ABS('Реестр рисков'!$G$21-0.4)&lt;0.001,ABS('Реестр рисков'!$H$21-0.8)&lt;0.001),'Реестр рисков'!$B$21&amp;" ","")&amp;IF(AND(ABS('Реестр рисков'!$G$22-0.4)&lt;0.001,ABS('Реестр рисков'!$H$22-0.8)&lt;0.001),'Реестр рисков'!$B$22&amp;" ","")&amp;IF(AND(ABS('Реестр рисков'!$G$23-0.4)&lt;0.001,ABS('Реестр рисков'!$H$23-0.8)&lt;0.001),'Реестр рисков'!$B$23&amp;" ",""))</f>
        <v>R7</v>
      </c>
      <c r="G7" s="31" t="str">
        <f>TRIM(IF(AND(ABS('Реестр рисков'!$G$5-0.5)&lt;0.001,ABS('Реестр рисков'!$H$5-0.8)&lt;0.001),'Реестр рисков'!$B$5&amp;" ","")&amp;IF(AND(ABS('Реестр рисков'!$G$6-0.5)&lt;0.001,ABS('Реестр рисков'!$H$6-0.8)&lt;0.001),'Реестр рисков'!$B$6&amp;" ","")&amp;IF(AND(ABS('Реестр рисков'!$G$7-0.5)&lt;0.001,ABS('Реестр рисков'!$H$7-0.8)&lt;0.001),'Реестр рисков'!$B$7&amp;" ","")&amp;IF(AND(ABS('Реестр рисков'!$G$8-0.5)&lt;0.001,ABS('Реестр рисков'!$H$8-0.8)&lt;0.001),'Реестр рисков'!$B$8&amp;" ","")&amp;IF(AND(ABS('Реестр рисков'!$G$9-0.5)&lt;0.001,ABS('Реестр рисков'!$H$9-0.8)&lt;0.001),'Реестр рисков'!$B$9&amp;" ","")&amp;IF(AND(ABS('Реестр рисков'!$G$10-0.5)&lt;0.001,ABS('Реестр рисков'!$H$10-0.8)&lt;0.001),'Реестр рисков'!$B$10&amp;" ","")&amp;IF(AND(ABS('Реестр рисков'!$G$11-0.5)&lt;0.001,ABS('Реестр рисков'!$H$11-0.8)&lt;0.001),'Реестр рисков'!$B$11&amp;" ","")&amp;IF(AND(ABS('Реестр рисков'!$G$12-0.5)&lt;0.001,ABS('Реестр рисков'!$H$12-0.8)&lt;0.001),'Реестр рисков'!$B$12&amp;" ","")&amp;IF(AND(ABS('Реестр рисков'!$G$13-0.5)&lt;0.001,ABS('Реестр рисков'!$H$13-0.8)&lt;0.001),'Реестр рисков'!$B$13&amp;" ","")&amp;IF(AND(ABS('Реестр рисков'!$G$14-0.5)&lt;0.001,ABS('Реестр рисков'!$H$14-0.8)&lt;0.001),'Реестр рисков'!$B$14&amp;" ","")&amp;IF(AND(ABS('Реестр рисков'!$G$15-0.5)&lt;0.001,ABS('Реестр рисков'!$H$15-0.8)&lt;0.001),'Реестр рисков'!$B$15&amp;" ","")&amp;IF(AND(ABS('Реестр рисков'!$G$16-0.5)&lt;0.001,ABS('Реестр рисков'!$H$16-0.8)&lt;0.001),'Реестр рисков'!$B$16&amp;" ","")&amp;IF(AND(ABS('Реестр рисков'!$G$17-0.5)&lt;0.001,ABS('Реестр рисков'!$H$17-0.8)&lt;0.001),'Реестр рисков'!$B$17&amp;" ","")&amp;IF(AND(ABS('Реестр рисков'!$G$18-0.5)&lt;0.001,ABS('Реестр рисков'!$H$18-0.8)&lt;0.001),'Реестр рисков'!$B$18&amp;" ","")&amp;IF(AND(ABS('Реестр рисков'!$G$19-0.5)&lt;0.001,ABS('Реестр рисков'!$H$19-0.8)&lt;0.001),'Реестр рисков'!$B$19&amp;" ","")&amp;IF(AND(ABS('Реестр рисков'!$G$20-0.5)&lt;0.001,ABS('Реестр рисков'!$H$20-0.8)&lt;0.001),'Реестр рисков'!$B$20&amp;" ","")&amp;IF(AND(ABS('Реестр рисков'!$G$21-0.5)&lt;0.001,ABS('Реестр рисков'!$H$21-0.8)&lt;0.001),'Реестр рисков'!$B$21&amp;" ","")&amp;IF(AND(ABS('Реестр рисков'!$G$22-0.5)&lt;0.001,ABS('Реестр рисков'!$H$22-0.8)&lt;0.001),'Реестр рисков'!$B$22&amp;" ","")&amp;IF(AND(ABS('Реестр рисков'!$G$23-0.5)&lt;0.001,ABS('Реестр рисков'!$H$23-0.8)&lt;0.001),'Реестр рисков'!$B$23&amp;" ",""))</f>
        <v>R5</v>
      </c>
      <c r="H7" s="31" t="str">
        <f>TRIM(IF(AND(ABS('Реестр рисков'!$G$5-0.6)&lt;0.001,ABS('Реестр рисков'!$H$5-0.8)&lt;0.001),'Реестр рисков'!$B$5&amp;" ","")&amp;IF(AND(ABS('Реестр рисков'!$G$6-0.6)&lt;0.001,ABS('Реестр рисков'!$H$6-0.8)&lt;0.001),'Реестр рисков'!$B$6&amp;" ","")&amp;IF(AND(ABS('Реестр рисков'!$G$7-0.6)&lt;0.001,ABS('Реестр рисков'!$H$7-0.8)&lt;0.001),'Реестр рисков'!$B$7&amp;" ","")&amp;IF(AND(ABS('Реестр рисков'!$G$8-0.6)&lt;0.001,ABS('Реестр рисков'!$H$8-0.8)&lt;0.001),'Реестр рисков'!$B$8&amp;" ","")&amp;IF(AND(ABS('Реестр рисков'!$G$9-0.6)&lt;0.001,ABS('Реестр рисков'!$H$9-0.8)&lt;0.001),'Реестр рисков'!$B$9&amp;" ","")&amp;IF(AND(ABS('Реестр рисков'!$G$10-0.6)&lt;0.001,ABS('Реестр рисков'!$H$10-0.8)&lt;0.001),'Реестр рисков'!$B$10&amp;" ","")&amp;IF(AND(ABS('Реестр рисков'!$G$11-0.6)&lt;0.001,ABS('Реестр рисков'!$H$11-0.8)&lt;0.001),'Реестр рисков'!$B$11&amp;" ","")&amp;IF(AND(ABS('Реестр рисков'!$G$12-0.6)&lt;0.001,ABS('Реестр рисков'!$H$12-0.8)&lt;0.001),'Реестр рисков'!$B$12&amp;" ","")&amp;IF(AND(ABS('Реестр рисков'!$G$13-0.6)&lt;0.001,ABS('Реестр рисков'!$H$13-0.8)&lt;0.001),'Реестр рисков'!$B$13&amp;" ","")&amp;IF(AND(ABS('Реестр рисков'!$G$14-0.6)&lt;0.001,ABS('Реестр рисков'!$H$14-0.8)&lt;0.001),'Реестр рисков'!$B$14&amp;" ","")&amp;IF(AND(ABS('Реестр рисков'!$G$15-0.6)&lt;0.001,ABS('Реестр рисков'!$H$15-0.8)&lt;0.001),'Реестр рисков'!$B$15&amp;" ","")&amp;IF(AND(ABS('Реестр рисков'!$G$16-0.6)&lt;0.001,ABS('Реестр рисков'!$H$16-0.8)&lt;0.001),'Реестр рисков'!$B$16&amp;" ","")&amp;IF(AND(ABS('Реестр рисков'!$G$17-0.6)&lt;0.001,ABS('Реестр рисков'!$H$17-0.8)&lt;0.001),'Реестр рисков'!$B$17&amp;" ","")&amp;IF(AND(ABS('Реестр рисков'!$G$18-0.6)&lt;0.001,ABS('Реестр рисков'!$H$18-0.8)&lt;0.001),'Реестр рисков'!$B$18&amp;" ","")&amp;IF(AND(ABS('Реестр рисков'!$G$19-0.6)&lt;0.001,ABS('Реестр рисков'!$H$19-0.8)&lt;0.001),'Реестр рисков'!$B$19&amp;" ","")&amp;IF(AND(ABS('Реестр рисков'!$G$20-0.6)&lt;0.001,ABS('Реестр рисков'!$H$20-0.8)&lt;0.001),'Реестр рисков'!$B$20&amp;" ","")&amp;IF(AND(ABS('Реестр рисков'!$G$21-0.6)&lt;0.001,ABS('Реестр рисков'!$H$21-0.8)&lt;0.001),'Реестр рисков'!$B$21&amp;" ","")&amp;IF(AND(ABS('Реестр рисков'!$G$22-0.6)&lt;0.001,ABS('Реестр рисков'!$H$22-0.8)&lt;0.001),'Реестр рисков'!$B$22&amp;" ","")&amp;IF(AND(ABS('Реестр рисков'!$G$23-0.6)&lt;0.001,ABS('Реестр рисков'!$H$23-0.8)&lt;0.001),'Реестр рисков'!$B$23&amp;" ",""))</f>
        <v/>
      </c>
      <c r="I7" s="32" t="str">
        <f>TRIM(IF(AND(ABS('Реестр рисков'!$G$5-0.7)&lt;0.001,ABS('Реестр рисков'!$H$5-0.8)&lt;0.001),'Реестр рисков'!$B$5&amp;" ","")&amp;IF(AND(ABS('Реестр рисков'!$G$6-0.7)&lt;0.001,ABS('Реестр рисков'!$H$6-0.8)&lt;0.001),'Реестр рисков'!$B$6&amp;" ","")&amp;IF(AND(ABS('Реестр рисков'!$G$7-0.7)&lt;0.001,ABS('Реестр рисков'!$H$7-0.8)&lt;0.001),'Реестр рисков'!$B$7&amp;" ","")&amp;IF(AND(ABS('Реестр рисков'!$G$8-0.7)&lt;0.001,ABS('Реестр рисков'!$H$8-0.8)&lt;0.001),'Реестр рисков'!$B$8&amp;" ","")&amp;IF(AND(ABS('Реестр рисков'!$G$9-0.7)&lt;0.001,ABS('Реестр рисков'!$H$9-0.8)&lt;0.001),'Реестр рисков'!$B$9&amp;" ","")&amp;IF(AND(ABS('Реестр рисков'!$G$10-0.7)&lt;0.001,ABS('Реестр рисков'!$H$10-0.8)&lt;0.001),'Реестр рисков'!$B$10&amp;" ","")&amp;IF(AND(ABS('Реестр рисков'!$G$11-0.7)&lt;0.001,ABS('Реестр рисков'!$H$11-0.8)&lt;0.001),'Реестр рисков'!$B$11&amp;" ","")&amp;IF(AND(ABS('Реестр рисков'!$G$12-0.7)&lt;0.001,ABS('Реестр рисков'!$H$12-0.8)&lt;0.001),'Реестр рисков'!$B$12&amp;" ","")&amp;IF(AND(ABS('Реестр рисков'!$G$13-0.7)&lt;0.001,ABS('Реестр рисков'!$H$13-0.8)&lt;0.001),'Реестр рисков'!$B$13&amp;" ","")&amp;IF(AND(ABS('Реестр рисков'!$G$14-0.7)&lt;0.001,ABS('Реестр рисков'!$H$14-0.8)&lt;0.001),'Реестр рисков'!$B$14&amp;" ","")&amp;IF(AND(ABS('Реестр рисков'!$G$15-0.7)&lt;0.001,ABS('Реестр рисков'!$H$15-0.8)&lt;0.001),'Реестр рисков'!$B$15&amp;" ","")&amp;IF(AND(ABS('Реестр рисков'!$G$16-0.7)&lt;0.001,ABS('Реестр рисков'!$H$16-0.8)&lt;0.001),'Реестр рисков'!$B$16&amp;" ","")&amp;IF(AND(ABS('Реестр рисков'!$G$17-0.7)&lt;0.001,ABS('Реестр рисков'!$H$17-0.8)&lt;0.001),'Реестр рисков'!$B$17&amp;" ","")&amp;IF(AND(ABS('Реестр рисков'!$G$18-0.7)&lt;0.001,ABS('Реестр рисков'!$H$18-0.8)&lt;0.001),'Реестр рисков'!$B$18&amp;" ","")&amp;IF(AND(ABS('Реестр рисков'!$G$19-0.7)&lt;0.001,ABS('Реестр рисков'!$H$19-0.8)&lt;0.001),'Реестр рисков'!$B$19&amp;" ","")&amp;IF(AND(ABS('Реестр рисков'!$G$20-0.7)&lt;0.001,ABS('Реестр рисков'!$H$20-0.8)&lt;0.001),'Реестр рисков'!$B$20&amp;" ","")&amp;IF(AND(ABS('Реестр рисков'!$G$21-0.7)&lt;0.001,ABS('Реестр рисков'!$H$21-0.8)&lt;0.001),'Реестр рисков'!$B$21&amp;" ","")&amp;IF(AND(ABS('Реестр рисков'!$G$22-0.7)&lt;0.001,ABS('Реестр рисков'!$H$22-0.8)&lt;0.001),'Реестр рисков'!$B$22&amp;" ","")&amp;IF(AND(ABS('Реестр рисков'!$G$23-0.7)&lt;0.001,ABS('Реестр рисков'!$H$23-0.8)&lt;0.001),'Реестр рисков'!$B$23&amp;" ",""))</f>
        <v>R1</v>
      </c>
      <c r="J7" s="32" t="str">
        <f>TRIM(IF(AND(ABS('Реестр рисков'!$G$5-0.8)&lt;0.001,ABS('Реестр рисков'!$H$5-0.8)&lt;0.001),'Реестр рисков'!$B$5&amp;" ","")&amp;IF(AND(ABS('Реестр рисков'!$G$6-0.8)&lt;0.001,ABS('Реестр рисков'!$H$6-0.8)&lt;0.001),'Реестр рисков'!$B$6&amp;" ","")&amp;IF(AND(ABS('Реестр рисков'!$G$7-0.8)&lt;0.001,ABS('Реестр рисков'!$H$7-0.8)&lt;0.001),'Реестр рисков'!$B$7&amp;" ","")&amp;IF(AND(ABS('Реестр рисков'!$G$8-0.8)&lt;0.001,ABS('Реестр рисков'!$H$8-0.8)&lt;0.001),'Реестр рисков'!$B$8&amp;" ","")&amp;IF(AND(ABS('Реестр рисков'!$G$9-0.8)&lt;0.001,ABS('Реестр рисков'!$H$9-0.8)&lt;0.001),'Реестр рисков'!$B$9&amp;" ","")&amp;IF(AND(ABS('Реестр рисков'!$G$10-0.8)&lt;0.001,ABS('Реестр рисков'!$H$10-0.8)&lt;0.001),'Реестр рисков'!$B$10&amp;" ","")&amp;IF(AND(ABS('Реестр рисков'!$G$11-0.8)&lt;0.001,ABS('Реестр рисков'!$H$11-0.8)&lt;0.001),'Реестр рисков'!$B$11&amp;" ","")&amp;IF(AND(ABS('Реестр рисков'!$G$12-0.8)&lt;0.001,ABS('Реестр рисков'!$H$12-0.8)&lt;0.001),'Реестр рисков'!$B$12&amp;" ","")&amp;IF(AND(ABS('Реестр рисков'!$G$13-0.8)&lt;0.001,ABS('Реестр рисков'!$H$13-0.8)&lt;0.001),'Реестр рисков'!$B$13&amp;" ","")&amp;IF(AND(ABS('Реестр рисков'!$G$14-0.8)&lt;0.001,ABS('Реестр рисков'!$H$14-0.8)&lt;0.001),'Реестр рисков'!$B$14&amp;" ","")&amp;IF(AND(ABS('Реестр рисков'!$G$15-0.8)&lt;0.001,ABS('Реестр рисков'!$H$15-0.8)&lt;0.001),'Реестр рисков'!$B$15&amp;" ","")&amp;IF(AND(ABS('Реестр рисков'!$G$16-0.8)&lt;0.001,ABS('Реестр рисков'!$H$16-0.8)&lt;0.001),'Реестр рисков'!$B$16&amp;" ","")&amp;IF(AND(ABS('Реестр рисков'!$G$17-0.8)&lt;0.001,ABS('Реестр рисков'!$H$17-0.8)&lt;0.001),'Реестр рисков'!$B$17&amp;" ","")&amp;IF(AND(ABS('Реестр рисков'!$G$18-0.8)&lt;0.001,ABS('Реестр рисков'!$H$18-0.8)&lt;0.001),'Реестр рисков'!$B$18&amp;" ","")&amp;IF(AND(ABS('Реестр рисков'!$G$19-0.8)&lt;0.001,ABS('Реестр рисков'!$H$19-0.8)&lt;0.001),'Реестр рисков'!$B$19&amp;" ","")&amp;IF(AND(ABS('Реестр рисков'!$G$20-0.8)&lt;0.001,ABS('Реестр рисков'!$H$20-0.8)&lt;0.001),'Реестр рисков'!$B$20&amp;" ","")&amp;IF(AND(ABS('Реестр рисков'!$G$21-0.8)&lt;0.001,ABS('Реестр рисков'!$H$21-0.8)&lt;0.001),'Реестр рисков'!$B$21&amp;" ","")&amp;IF(AND(ABS('Реестр рисков'!$G$22-0.8)&lt;0.001,ABS('Реестр рисков'!$H$22-0.8)&lt;0.001),'Реестр рисков'!$B$22&amp;" ","")&amp;IF(AND(ABS('Реестр рисков'!$G$23-0.8)&lt;0.001,ABS('Реестр рисков'!$H$23-0.8)&lt;0.001),'Реестр рисков'!$B$23&amp;" ",""))</f>
        <v/>
      </c>
      <c r="K7" s="32" t="str">
        <f>TRIM(IF(AND(ABS('Реестр рисков'!$G$5-0.9)&lt;0.001,ABS('Реестр рисков'!$H$5-0.8)&lt;0.001),'Реестр рисков'!$B$5&amp;" ","")&amp;IF(AND(ABS('Реестр рисков'!$G$6-0.9)&lt;0.001,ABS('Реестр рисков'!$H$6-0.8)&lt;0.001),'Реестр рисков'!$B$6&amp;" ","")&amp;IF(AND(ABS('Реестр рисков'!$G$7-0.9)&lt;0.001,ABS('Реестр рисков'!$H$7-0.8)&lt;0.001),'Реестр рисков'!$B$7&amp;" ","")&amp;IF(AND(ABS('Реестр рисков'!$G$8-0.9)&lt;0.001,ABS('Реестр рисков'!$H$8-0.8)&lt;0.001),'Реестр рисков'!$B$8&amp;" ","")&amp;IF(AND(ABS('Реестр рисков'!$G$9-0.9)&lt;0.001,ABS('Реестр рисков'!$H$9-0.8)&lt;0.001),'Реестр рисков'!$B$9&amp;" ","")&amp;IF(AND(ABS('Реестр рисков'!$G$10-0.9)&lt;0.001,ABS('Реестр рисков'!$H$10-0.8)&lt;0.001),'Реестр рисков'!$B$10&amp;" ","")&amp;IF(AND(ABS('Реестр рисков'!$G$11-0.9)&lt;0.001,ABS('Реестр рисков'!$H$11-0.8)&lt;0.001),'Реестр рисков'!$B$11&amp;" ","")&amp;IF(AND(ABS('Реестр рисков'!$G$12-0.9)&lt;0.001,ABS('Реестр рисков'!$H$12-0.8)&lt;0.001),'Реестр рисков'!$B$12&amp;" ","")&amp;IF(AND(ABS('Реестр рисков'!$G$13-0.9)&lt;0.001,ABS('Реестр рисков'!$H$13-0.8)&lt;0.001),'Реестр рисков'!$B$13&amp;" ","")&amp;IF(AND(ABS('Реестр рисков'!$G$14-0.9)&lt;0.001,ABS('Реестр рисков'!$H$14-0.8)&lt;0.001),'Реестр рисков'!$B$14&amp;" ","")&amp;IF(AND(ABS('Реестр рисков'!$G$15-0.9)&lt;0.001,ABS('Реестр рисков'!$H$15-0.8)&lt;0.001),'Реестр рисков'!$B$15&amp;" ","")&amp;IF(AND(ABS('Реестр рисков'!$G$16-0.9)&lt;0.001,ABS('Реестр рисков'!$H$16-0.8)&lt;0.001),'Реестр рисков'!$B$16&amp;" ","")&amp;IF(AND(ABS('Реестр рисков'!$G$17-0.9)&lt;0.001,ABS('Реестр рисков'!$H$17-0.8)&lt;0.001),'Реестр рисков'!$B$17&amp;" ","")&amp;IF(AND(ABS('Реестр рисков'!$G$18-0.9)&lt;0.001,ABS('Реестр рисков'!$H$18-0.8)&lt;0.001),'Реестр рисков'!$B$18&amp;" ","")&amp;IF(AND(ABS('Реестр рисков'!$G$19-0.9)&lt;0.001,ABS('Реестр рисков'!$H$19-0.8)&lt;0.001),'Реестр рисков'!$B$19&amp;" ","")&amp;IF(AND(ABS('Реестр рисков'!$G$20-0.9)&lt;0.001,ABS('Реестр рисков'!$H$20-0.8)&lt;0.001),'Реестр рисков'!$B$20&amp;" ","")&amp;IF(AND(ABS('Реестр рисков'!$G$21-0.9)&lt;0.001,ABS('Реестр рисков'!$H$21-0.8)&lt;0.001),'Реестр рисков'!$B$21&amp;" ","")&amp;IF(AND(ABS('Реестр рисков'!$G$22-0.9)&lt;0.001,ABS('Реестр рисков'!$H$22-0.8)&lt;0.001),'Реестр рисков'!$B$22&amp;" ","")&amp;IF(AND(ABS('Реестр рисков'!$G$23-0.9)&lt;0.001,ABS('Реестр рисков'!$H$23-0.8)&lt;0.001),'Реестр рисков'!$B$23&amp;" ",""))</f>
        <v/>
      </c>
      <c r="L7" s="32" t="str">
        <f>TRIM(IF(AND(ABS('Реестр рисков'!$G$5-1)&lt;0.001,ABS('Реестр рисков'!$H$5-0.8)&lt;0.001),'Реестр рисков'!$B$5&amp;" ","")&amp;IF(AND(ABS('Реестр рисков'!$G$6-1)&lt;0.001,ABS('Реестр рисков'!$H$6-0.8)&lt;0.001),'Реестр рисков'!$B$6&amp;" ","")&amp;IF(AND(ABS('Реестр рисков'!$G$7-1)&lt;0.001,ABS('Реестр рисков'!$H$7-0.8)&lt;0.001),'Реестр рисков'!$B$7&amp;" ","")&amp;IF(AND(ABS('Реестр рисков'!$G$8-1)&lt;0.001,ABS('Реестр рисков'!$H$8-0.8)&lt;0.001),'Реестр рисков'!$B$8&amp;" ","")&amp;IF(AND(ABS('Реестр рисков'!$G$9-1)&lt;0.001,ABS('Реестр рисков'!$H$9-0.8)&lt;0.001),'Реестр рисков'!$B$9&amp;" ","")&amp;IF(AND(ABS('Реестр рисков'!$G$10-1)&lt;0.001,ABS('Реестр рисков'!$H$10-0.8)&lt;0.001),'Реестр рисков'!$B$10&amp;" ","")&amp;IF(AND(ABS('Реестр рисков'!$G$11-1)&lt;0.001,ABS('Реестр рисков'!$H$11-0.8)&lt;0.001),'Реестр рисков'!$B$11&amp;" ","")&amp;IF(AND(ABS('Реестр рисков'!$G$12-1)&lt;0.001,ABS('Реестр рисков'!$H$12-0.8)&lt;0.001),'Реестр рисков'!$B$12&amp;" ","")&amp;IF(AND(ABS('Реестр рисков'!$G$13-1)&lt;0.001,ABS('Реестр рисков'!$H$13-0.8)&lt;0.001),'Реестр рисков'!$B$13&amp;" ","")&amp;IF(AND(ABS('Реестр рисков'!$G$14-1)&lt;0.001,ABS('Реестр рисков'!$H$14-0.8)&lt;0.001),'Реестр рисков'!$B$14&amp;" ","")&amp;IF(AND(ABS('Реестр рисков'!$G$15-1)&lt;0.001,ABS('Реестр рисков'!$H$15-0.8)&lt;0.001),'Реестр рисков'!$B$15&amp;" ","")&amp;IF(AND(ABS('Реестр рисков'!$G$16-1)&lt;0.001,ABS('Реестр рисков'!$H$16-0.8)&lt;0.001),'Реестр рисков'!$B$16&amp;" ","")&amp;IF(AND(ABS('Реестр рисков'!$G$17-1)&lt;0.001,ABS('Реестр рисков'!$H$17-0.8)&lt;0.001),'Реестр рисков'!$B$17&amp;" ","")&amp;IF(AND(ABS('Реестр рисков'!$G$18-1)&lt;0.001,ABS('Реестр рисков'!$H$18-0.8)&lt;0.001),'Реестр рисков'!$B$18&amp;" ","")&amp;IF(AND(ABS('Реестр рисков'!$G$19-1)&lt;0.001,ABS('Реестр рисков'!$H$19-0.8)&lt;0.001),'Реестр рисков'!$B$19&amp;" ","")&amp;IF(AND(ABS('Реестр рисков'!$G$20-1)&lt;0.001,ABS('Реестр рисков'!$H$20-0.8)&lt;0.001),'Реестр рисков'!$B$20&amp;" ","")&amp;IF(AND(ABS('Реестр рисков'!$G$21-1)&lt;0.001,ABS('Реестр рисков'!$H$21-0.8)&lt;0.001),'Реестр рисков'!$B$21&amp;" ","")&amp;IF(AND(ABS('Реестр рисков'!$G$22-1)&lt;0.001,ABS('Реестр рисков'!$H$22-0.8)&lt;0.001),'Реестр рисков'!$B$22&amp;" ","")&amp;IF(AND(ABS('Реестр рисков'!$G$23-1)&lt;0.001,ABS('Реестр рисков'!$H$23-0.8)&lt;0.001),'Реестр рисков'!$B$23&amp;" ",""))</f>
        <v/>
      </c>
    </row>
    <row r="8" spans="1:12" ht="30" customHeight="1" x14ac:dyDescent="0.45">
      <c r="A8" s="5"/>
      <c r="B8" s="29">
        <v>0.7</v>
      </c>
      <c r="C8" s="30" t="str">
        <f>TRIM(IF(AND(ABS('Реестр рисков'!$G$5-0.1)&lt;0.001,ABS('Реестр рисков'!$H$5-0.7)&lt;0.001),'Реестр рисков'!$B$5&amp;" ","")&amp;IF(AND(ABS('Реестр рисков'!$G$6-0.1)&lt;0.001,ABS('Реестр рисков'!$H$6-0.7)&lt;0.001),'Реестр рисков'!$B$6&amp;" ","")&amp;IF(AND(ABS('Реестр рисков'!$G$7-0.1)&lt;0.001,ABS('Реестр рисков'!$H$7-0.7)&lt;0.001),'Реестр рисков'!$B$7&amp;" ","")&amp;IF(AND(ABS('Реестр рисков'!$G$8-0.1)&lt;0.001,ABS('Реестр рисков'!$H$8-0.7)&lt;0.001),'Реестр рисков'!$B$8&amp;" ","")&amp;IF(AND(ABS('Реестр рисков'!$G$9-0.1)&lt;0.001,ABS('Реестр рисков'!$H$9-0.7)&lt;0.001),'Реестр рисков'!$B$9&amp;" ","")&amp;IF(AND(ABS('Реестр рисков'!$G$10-0.1)&lt;0.001,ABS('Реестр рисков'!$H$10-0.7)&lt;0.001),'Реестр рисков'!$B$10&amp;" ","")&amp;IF(AND(ABS('Реестр рисков'!$G$11-0.1)&lt;0.001,ABS('Реестр рисков'!$H$11-0.7)&lt;0.001),'Реестр рисков'!$B$11&amp;" ","")&amp;IF(AND(ABS('Реестр рисков'!$G$12-0.1)&lt;0.001,ABS('Реестр рисков'!$H$12-0.7)&lt;0.001),'Реестр рисков'!$B$12&amp;" ","")&amp;IF(AND(ABS('Реестр рисков'!$G$13-0.1)&lt;0.001,ABS('Реестр рисков'!$H$13-0.7)&lt;0.001),'Реестр рисков'!$B$13&amp;" ","")&amp;IF(AND(ABS('Реестр рисков'!$G$14-0.1)&lt;0.001,ABS('Реестр рисков'!$H$14-0.7)&lt;0.001),'Реестр рисков'!$B$14&amp;" ","")&amp;IF(AND(ABS('Реестр рисков'!$G$15-0.1)&lt;0.001,ABS('Реестр рисков'!$H$15-0.7)&lt;0.001),'Реестр рисков'!$B$15&amp;" ","")&amp;IF(AND(ABS('Реестр рисков'!$G$16-0.1)&lt;0.001,ABS('Реестр рисков'!$H$16-0.7)&lt;0.001),'Реестр рисков'!$B$16&amp;" ","")&amp;IF(AND(ABS('Реестр рисков'!$G$17-0.1)&lt;0.001,ABS('Реестр рисков'!$H$17-0.7)&lt;0.001),'Реестр рисков'!$B$17&amp;" ","")&amp;IF(AND(ABS('Реестр рисков'!$G$18-0.1)&lt;0.001,ABS('Реестр рисков'!$H$18-0.7)&lt;0.001),'Реестр рисков'!$B$18&amp;" ","")&amp;IF(AND(ABS('Реестр рисков'!$G$19-0.1)&lt;0.001,ABS('Реестр рисков'!$H$19-0.7)&lt;0.001),'Реестр рисков'!$B$19&amp;" ","")&amp;IF(AND(ABS('Реестр рисков'!$G$20-0.1)&lt;0.001,ABS('Реестр рисков'!$H$20-0.7)&lt;0.001),'Реестр рисков'!$B$20&amp;" ","")&amp;IF(AND(ABS('Реестр рисков'!$G$21-0.1)&lt;0.001,ABS('Реестр рисков'!$H$21-0.7)&lt;0.001),'Реестр рисков'!$B$21&amp;" ","")&amp;IF(AND(ABS('Реестр рисков'!$G$22-0.1)&lt;0.001,ABS('Реестр рисков'!$H$22-0.7)&lt;0.001),'Реестр рисков'!$B$22&amp;" ","")&amp;IF(AND(ABS('Реестр рисков'!$G$23-0.1)&lt;0.001,ABS('Реестр рисков'!$H$23-0.7)&lt;0.001),'Реестр рисков'!$B$23&amp;" ",""))</f>
        <v/>
      </c>
      <c r="D8" s="31" t="str">
        <f>TRIM(IF(AND(ABS('Реестр рисков'!$G$5-0.2)&lt;0.001,ABS('Реестр рисков'!$H$5-0.7)&lt;0.001),'Реестр рисков'!$B$5&amp;" ","")&amp;IF(AND(ABS('Реестр рисков'!$G$6-0.2)&lt;0.001,ABS('Реестр рисков'!$H$6-0.7)&lt;0.001),'Реестр рисков'!$B$6&amp;" ","")&amp;IF(AND(ABS('Реестр рисков'!$G$7-0.2)&lt;0.001,ABS('Реестр рисков'!$H$7-0.7)&lt;0.001),'Реестр рисков'!$B$7&amp;" ","")&amp;IF(AND(ABS('Реестр рисков'!$G$8-0.2)&lt;0.001,ABS('Реестр рисков'!$H$8-0.7)&lt;0.001),'Реестр рисков'!$B$8&amp;" ","")&amp;IF(AND(ABS('Реестр рисков'!$G$9-0.2)&lt;0.001,ABS('Реестр рисков'!$H$9-0.7)&lt;0.001),'Реестр рисков'!$B$9&amp;" ","")&amp;IF(AND(ABS('Реестр рисков'!$G$10-0.2)&lt;0.001,ABS('Реестр рисков'!$H$10-0.7)&lt;0.001),'Реестр рисков'!$B$10&amp;" ","")&amp;IF(AND(ABS('Реестр рисков'!$G$11-0.2)&lt;0.001,ABS('Реестр рисков'!$H$11-0.7)&lt;0.001),'Реестр рисков'!$B$11&amp;" ","")&amp;IF(AND(ABS('Реестр рисков'!$G$12-0.2)&lt;0.001,ABS('Реестр рисков'!$H$12-0.7)&lt;0.001),'Реестр рисков'!$B$12&amp;" ","")&amp;IF(AND(ABS('Реестр рисков'!$G$13-0.2)&lt;0.001,ABS('Реестр рисков'!$H$13-0.7)&lt;0.001),'Реестр рисков'!$B$13&amp;" ","")&amp;IF(AND(ABS('Реестр рисков'!$G$14-0.2)&lt;0.001,ABS('Реестр рисков'!$H$14-0.7)&lt;0.001),'Реестр рисков'!$B$14&amp;" ","")&amp;IF(AND(ABS('Реестр рисков'!$G$15-0.2)&lt;0.001,ABS('Реестр рисков'!$H$15-0.7)&lt;0.001),'Реестр рисков'!$B$15&amp;" ","")&amp;IF(AND(ABS('Реестр рисков'!$G$16-0.2)&lt;0.001,ABS('Реестр рисков'!$H$16-0.7)&lt;0.001),'Реестр рисков'!$B$16&amp;" ","")&amp;IF(AND(ABS('Реестр рисков'!$G$17-0.2)&lt;0.001,ABS('Реестр рисков'!$H$17-0.7)&lt;0.001),'Реестр рисков'!$B$17&amp;" ","")&amp;IF(AND(ABS('Реестр рисков'!$G$18-0.2)&lt;0.001,ABS('Реестр рисков'!$H$18-0.7)&lt;0.001),'Реестр рисков'!$B$18&amp;" ","")&amp;IF(AND(ABS('Реестр рисков'!$G$19-0.2)&lt;0.001,ABS('Реестр рисков'!$H$19-0.7)&lt;0.001),'Реестр рисков'!$B$19&amp;" ","")&amp;IF(AND(ABS('Реестр рисков'!$G$20-0.2)&lt;0.001,ABS('Реестр рисков'!$H$20-0.7)&lt;0.001),'Реестр рисков'!$B$20&amp;" ","")&amp;IF(AND(ABS('Реестр рисков'!$G$21-0.2)&lt;0.001,ABS('Реестр рисков'!$H$21-0.7)&lt;0.001),'Реестр рисков'!$B$21&amp;" ","")&amp;IF(AND(ABS('Реестр рисков'!$G$22-0.2)&lt;0.001,ABS('Реестр рисков'!$H$22-0.7)&lt;0.001),'Реестр рисков'!$B$22&amp;" ","")&amp;IF(AND(ABS('Реестр рисков'!$G$23-0.2)&lt;0.001,ABS('Реестр рисков'!$H$23-0.7)&lt;0.001),'Реестр рисков'!$B$23&amp;" ",""))</f>
        <v/>
      </c>
      <c r="E8" s="31" t="str">
        <f>TRIM(IF(AND(ABS('Реестр рисков'!$G$5-0.3)&lt;0.001,ABS('Реестр рисков'!$H$5-0.7)&lt;0.001),'Реестр рисков'!$B$5&amp;" ","")&amp;IF(AND(ABS('Реестр рисков'!$G$6-0.3)&lt;0.001,ABS('Реестр рисков'!$H$6-0.7)&lt;0.001),'Реестр рисков'!$B$6&amp;" ","")&amp;IF(AND(ABS('Реестр рисков'!$G$7-0.3)&lt;0.001,ABS('Реестр рисков'!$H$7-0.7)&lt;0.001),'Реестр рисков'!$B$7&amp;" ","")&amp;IF(AND(ABS('Реестр рисков'!$G$8-0.3)&lt;0.001,ABS('Реестр рисков'!$H$8-0.7)&lt;0.001),'Реестр рисков'!$B$8&amp;" ","")&amp;IF(AND(ABS('Реестр рисков'!$G$9-0.3)&lt;0.001,ABS('Реестр рисков'!$H$9-0.7)&lt;0.001),'Реестр рисков'!$B$9&amp;" ","")&amp;IF(AND(ABS('Реестр рисков'!$G$10-0.3)&lt;0.001,ABS('Реестр рисков'!$H$10-0.7)&lt;0.001),'Реестр рисков'!$B$10&amp;" ","")&amp;IF(AND(ABS('Реестр рисков'!$G$11-0.3)&lt;0.001,ABS('Реестр рисков'!$H$11-0.7)&lt;0.001),'Реестр рисков'!$B$11&amp;" ","")&amp;IF(AND(ABS('Реестр рисков'!$G$12-0.3)&lt;0.001,ABS('Реестр рисков'!$H$12-0.7)&lt;0.001),'Реестр рисков'!$B$12&amp;" ","")&amp;IF(AND(ABS('Реестр рисков'!$G$13-0.3)&lt;0.001,ABS('Реестр рисков'!$H$13-0.7)&lt;0.001),'Реестр рисков'!$B$13&amp;" ","")&amp;IF(AND(ABS('Реестр рисков'!$G$14-0.3)&lt;0.001,ABS('Реестр рисков'!$H$14-0.7)&lt;0.001),'Реестр рисков'!$B$14&amp;" ","")&amp;IF(AND(ABS('Реестр рисков'!$G$15-0.3)&lt;0.001,ABS('Реестр рисков'!$H$15-0.7)&lt;0.001),'Реестр рисков'!$B$15&amp;" ","")&amp;IF(AND(ABS('Реестр рисков'!$G$16-0.3)&lt;0.001,ABS('Реестр рисков'!$H$16-0.7)&lt;0.001),'Реестр рисков'!$B$16&amp;" ","")&amp;IF(AND(ABS('Реестр рисков'!$G$17-0.3)&lt;0.001,ABS('Реестр рисков'!$H$17-0.7)&lt;0.001),'Реестр рисков'!$B$17&amp;" ","")&amp;IF(AND(ABS('Реестр рисков'!$G$18-0.3)&lt;0.001,ABS('Реестр рисков'!$H$18-0.7)&lt;0.001),'Реестр рисков'!$B$18&amp;" ","")&amp;IF(AND(ABS('Реестр рисков'!$G$19-0.3)&lt;0.001,ABS('Реестр рисков'!$H$19-0.7)&lt;0.001),'Реестр рисков'!$B$19&amp;" ","")&amp;IF(AND(ABS('Реестр рисков'!$G$20-0.3)&lt;0.001,ABS('Реестр рисков'!$H$20-0.7)&lt;0.001),'Реестр рисков'!$B$20&amp;" ","")&amp;IF(AND(ABS('Реестр рисков'!$G$21-0.3)&lt;0.001,ABS('Реестр рисков'!$H$21-0.7)&lt;0.001),'Реестр рисков'!$B$21&amp;" ","")&amp;IF(AND(ABS('Реестр рисков'!$G$22-0.3)&lt;0.001,ABS('Реестр рисков'!$H$22-0.7)&lt;0.001),'Реестр рисков'!$B$22&amp;" ","")&amp;IF(AND(ABS('Реестр рисков'!$G$23-0.3)&lt;0.001,ABS('Реестр рисков'!$H$23-0.7)&lt;0.001),'Реестр рисков'!$B$23&amp;" ",""))</f>
        <v/>
      </c>
      <c r="F8" s="31" t="str">
        <f>TRIM(IF(AND(ABS('Реестр рисков'!$G$5-0.4)&lt;0.001,ABS('Реестр рисков'!$H$5-0.7)&lt;0.001),'Реестр рисков'!$B$5&amp;" ","")&amp;IF(AND(ABS('Реестр рисков'!$G$6-0.4)&lt;0.001,ABS('Реестр рисков'!$H$6-0.7)&lt;0.001),'Реестр рисков'!$B$6&amp;" ","")&amp;IF(AND(ABS('Реестр рисков'!$G$7-0.4)&lt;0.001,ABS('Реестр рисков'!$H$7-0.7)&lt;0.001),'Реестр рисков'!$B$7&amp;" ","")&amp;IF(AND(ABS('Реестр рисков'!$G$8-0.4)&lt;0.001,ABS('Реестр рисков'!$H$8-0.7)&lt;0.001),'Реестр рисков'!$B$8&amp;" ","")&amp;IF(AND(ABS('Реестр рисков'!$G$9-0.4)&lt;0.001,ABS('Реестр рисков'!$H$9-0.7)&lt;0.001),'Реестр рисков'!$B$9&amp;" ","")&amp;IF(AND(ABS('Реестр рисков'!$G$10-0.4)&lt;0.001,ABS('Реестр рисков'!$H$10-0.7)&lt;0.001),'Реестр рисков'!$B$10&amp;" ","")&amp;IF(AND(ABS('Реестр рисков'!$G$11-0.4)&lt;0.001,ABS('Реестр рисков'!$H$11-0.7)&lt;0.001),'Реестр рисков'!$B$11&amp;" ","")&amp;IF(AND(ABS('Реестр рисков'!$G$12-0.4)&lt;0.001,ABS('Реестр рисков'!$H$12-0.7)&lt;0.001),'Реестр рисков'!$B$12&amp;" ","")&amp;IF(AND(ABS('Реестр рисков'!$G$13-0.4)&lt;0.001,ABS('Реестр рисков'!$H$13-0.7)&lt;0.001),'Реестр рисков'!$B$13&amp;" ","")&amp;IF(AND(ABS('Реестр рисков'!$G$14-0.4)&lt;0.001,ABS('Реестр рисков'!$H$14-0.7)&lt;0.001),'Реестр рисков'!$B$14&amp;" ","")&amp;IF(AND(ABS('Реестр рисков'!$G$15-0.4)&lt;0.001,ABS('Реестр рисков'!$H$15-0.7)&lt;0.001),'Реестр рисков'!$B$15&amp;" ","")&amp;IF(AND(ABS('Реестр рисков'!$G$16-0.4)&lt;0.001,ABS('Реестр рисков'!$H$16-0.7)&lt;0.001),'Реестр рисков'!$B$16&amp;" ","")&amp;IF(AND(ABS('Реестр рисков'!$G$17-0.4)&lt;0.001,ABS('Реестр рисков'!$H$17-0.7)&lt;0.001),'Реестр рисков'!$B$17&amp;" ","")&amp;IF(AND(ABS('Реестр рисков'!$G$18-0.4)&lt;0.001,ABS('Реестр рисков'!$H$18-0.7)&lt;0.001),'Реестр рисков'!$B$18&amp;" ","")&amp;IF(AND(ABS('Реестр рисков'!$G$19-0.4)&lt;0.001,ABS('Реестр рисков'!$H$19-0.7)&lt;0.001),'Реестр рисков'!$B$19&amp;" ","")&amp;IF(AND(ABS('Реестр рисков'!$G$20-0.4)&lt;0.001,ABS('Реестр рисков'!$H$20-0.7)&lt;0.001),'Реестр рисков'!$B$20&amp;" ","")&amp;IF(AND(ABS('Реестр рисков'!$G$21-0.4)&lt;0.001,ABS('Реестр рисков'!$H$21-0.7)&lt;0.001),'Реестр рисков'!$B$21&amp;" ","")&amp;IF(AND(ABS('Реестр рисков'!$G$22-0.4)&lt;0.001,ABS('Реестр рисков'!$H$22-0.7)&lt;0.001),'Реестр рисков'!$B$22&amp;" ","")&amp;IF(AND(ABS('Реестр рисков'!$G$23-0.4)&lt;0.001,ABS('Реестр рисков'!$H$23-0.7)&lt;0.001),'Реестр рисков'!$B$23&amp;" ",""))</f>
        <v>R11</v>
      </c>
      <c r="G8" s="31" t="str">
        <f>TRIM(IF(AND(ABS('Реестр рисков'!$G$5-0.5)&lt;0.001,ABS('Реестр рисков'!$H$5-0.7)&lt;0.001),'Реестр рисков'!$B$5&amp;" ","")&amp;IF(AND(ABS('Реестр рисков'!$G$6-0.5)&lt;0.001,ABS('Реестр рисков'!$H$6-0.7)&lt;0.001),'Реестр рисков'!$B$6&amp;" ","")&amp;IF(AND(ABS('Реестр рисков'!$G$7-0.5)&lt;0.001,ABS('Реестр рисков'!$H$7-0.7)&lt;0.001),'Реестр рисков'!$B$7&amp;" ","")&amp;IF(AND(ABS('Реестр рисков'!$G$8-0.5)&lt;0.001,ABS('Реестр рисков'!$H$8-0.7)&lt;0.001),'Реестр рисков'!$B$8&amp;" ","")&amp;IF(AND(ABS('Реестр рисков'!$G$9-0.5)&lt;0.001,ABS('Реестр рисков'!$H$9-0.7)&lt;0.001),'Реестр рисков'!$B$9&amp;" ","")&amp;IF(AND(ABS('Реестр рисков'!$G$10-0.5)&lt;0.001,ABS('Реестр рисков'!$H$10-0.7)&lt;0.001),'Реестр рисков'!$B$10&amp;" ","")&amp;IF(AND(ABS('Реестр рисков'!$G$11-0.5)&lt;0.001,ABS('Реестр рисков'!$H$11-0.7)&lt;0.001),'Реестр рисков'!$B$11&amp;" ","")&amp;IF(AND(ABS('Реестр рисков'!$G$12-0.5)&lt;0.001,ABS('Реестр рисков'!$H$12-0.7)&lt;0.001),'Реестр рисков'!$B$12&amp;" ","")&amp;IF(AND(ABS('Реестр рисков'!$G$13-0.5)&lt;0.001,ABS('Реестр рисков'!$H$13-0.7)&lt;0.001),'Реестр рисков'!$B$13&amp;" ","")&amp;IF(AND(ABS('Реестр рисков'!$G$14-0.5)&lt;0.001,ABS('Реестр рисков'!$H$14-0.7)&lt;0.001),'Реестр рисков'!$B$14&amp;" ","")&amp;IF(AND(ABS('Реестр рисков'!$G$15-0.5)&lt;0.001,ABS('Реестр рисков'!$H$15-0.7)&lt;0.001),'Реестр рисков'!$B$15&amp;" ","")&amp;IF(AND(ABS('Реестр рисков'!$G$16-0.5)&lt;0.001,ABS('Реестр рисков'!$H$16-0.7)&lt;0.001),'Реестр рисков'!$B$16&amp;" ","")&amp;IF(AND(ABS('Реестр рисков'!$G$17-0.5)&lt;0.001,ABS('Реестр рисков'!$H$17-0.7)&lt;0.001),'Реестр рисков'!$B$17&amp;" ","")&amp;IF(AND(ABS('Реестр рисков'!$G$18-0.5)&lt;0.001,ABS('Реестр рисков'!$H$18-0.7)&lt;0.001),'Реестр рисков'!$B$18&amp;" ","")&amp;IF(AND(ABS('Реестр рисков'!$G$19-0.5)&lt;0.001,ABS('Реестр рисков'!$H$19-0.7)&lt;0.001),'Реестр рисков'!$B$19&amp;" ","")&amp;IF(AND(ABS('Реестр рисков'!$G$20-0.5)&lt;0.001,ABS('Реестр рисков'!$H$20-0.7)&lt;0.001),'Реестр рисков'!$B$20&amp;" ","")&amp;IF(AND(ABS('Реестр рисков'!$G$21-0.5)&lt;0.001,ABS('Реестр рисков'!$H$21-0.7)&lt;0.001),'Реестр рисков'!$B$21&amp;" ","")&amp;IF(AND(ABS('Реестр рисков'!$G$22-0.5)&lt;0.001,ABS('Реестр рисков'!$H$22-0.7)&lt;0.001),'Реестр рисков'!$B$22&amp;" ","")&amp;IF(AND(ABS('Реестр рисков'!$G$23-0.5)&lt;0.001,ABS('Реестр рисков'!$H$23-0.7)&lt;0.001),'Реестр рисков'!$B$23&amp;" ",""))</f>
        <v>R9</v>
      </c>
      <c r="H8" s="31" t="str">
        <f>TRIM(IF(AND(ABS('Реестр рисков'!$G$5-0.6)&lt;0.001,ABS('Реестр рисков'!$H$5-0.7)&lt;0.001),'Реестр рисков'!$B$5&amp;" ","")&amp;IF(AND(ABS('Реестр рисков'!$G$6-0.6)&lt;0.001,ABS('Реестр рисков'!$H$6-0.7)&lt;0.001),'Реестр рисков'!$B$6&amp;" ","")&amp;IF(AND(ABS('Реестр рисков'!$G$7-0.6)&lt;0.001,ABS('Реестр рисков'!$H$7-0.7)&lt;0.001),'Реестр рисков'!$B$7&amp;" ","")&amp;IF(AND(ABS('Реестр рисков'!$G$8-0.6)&lt;0.001,ABS('Реестр рисков'!$H$8-0.7)&lt;0.001),'Реестр рисков'!$B$8&amp;" ","")&amp;IF(AND(ABS('Реестр рисков'!$G$9-0.6)&lt;0.001,ABS('Реестр рисков'!$H$9-0.7)&lt;0.001),'Реестр рисков'!$B$9&amp;" ","")&amp;IF(AND(ABS('Реестр рисков'!$G$10-0.6)&lt;0.001,ABS('Реестр рисков'!$H$10-0.7)&lt;0.001),'Реестр рисков'!$B$10&amp;" ","")&amp;IF(AND(ABS('Реестр рисков'!$G$11-0.6)&lt;0.001,ABS('Реестр рисков'!$H$11-0.7)&lt;0.001),'Реестр рисков'!$B$11&amp;" ","")&amp;IF(AND(ABS('Реестр рисков'!$G$12-0.6)&lt;0.001,ABS('Реестр рисков'!$H$12-0.7)&lt;0.001),'Реестр рисков'!$B$12&amp;" ","")&amp;IF(AND(ABS('Реестр рисков'!$G$13-0.6)&lt;0.001,ABS('Реестр рисков'!$H$13-0.7)&lt;0.001),'Реестр рисков'!$B$13&amp;" ","")&amp;IF(AND(ABS('Реестр рисков'!$G$14-0.6)&lt;0.001,ABS('Реестр рисков'!$H$14-0.7)&lt;0.001),'Реестр рисков'!$B$14&amp;" ","")&amp;IF(AND(ABS('Реестр рисков'!$G$15-0.6)&lt;0.001,ABS('Реестр рисков'!$H$15-0.7)&lt;0.001),'Реестр рисков'!$B$15&amp;" ","")&amp;IF(AND(ABS('Реестр рисков'!$G$16-0.6)&lt;0.001,ABS('Реестр рисков'!$H$16-0.7)&lt;0.001),'Реестр рисков'!$B$16&amp;" ","")&amp;IF(AND(ABS('Реестр рисков'!$G$17-0.6)&lt;0.001,ABS('Реестр рисков'!$H$17-0.7)&lt;0.001),'Реестр рисков'!$B$17&amp;" ","")&amp;IF(AND(ABS('Реестр рисков'!$G$18-0.6)&lt;0.001,ABS('Реестр рисков'!$H$18-0.7)&lt;0.001),'Реестр рисков'!$B$18&amp;" ","")&amp;IF(AND(ABS('Реестр рисков'!$G$19-0.6)&lt;0.001,ABS('Реестр рисков'!$H$19-0.7)&lt;0.001),'Реестр рисков'!$B$19&amp;" ","")&amp;IF(AND(ABS('Реестр рисков'!$G$20-0.6)&lt;0.001,ABS('Реестр рисков'!$H$20-0.7)&lt;0.001),'Реестр рисков'!$B$20&amp;" ","")&amp;IF(AND(ABS('Реестр рисков'!$G$21-0.6)&lt;0.001,ABS('Реестр рисков'!$H$21-0.7)&lt;0.001),'Реестр рисков'!$B$21&amp;" ","")&amp;IF(AND(ABS('Реестр рисков'!$G$22-0.6)&lt;0.001,ABS('Реестр рисков'!$H$22-0.7)&lt;0.001),'Реестр рисков'!$B$22&amp;" ","")&amp;IF(AND(ABS('Реестр рисков'!$G$23-0.6)&lt;0.001,ABS('Реестр рисков'!$H$23-0.7)&lt;0.001),'Реестр рисков'!$B$23&amp;" ",""))</f>
        <v/>
      </c>
      <c r="I8" s="31" t="str">
        <f>TRIM(IF(AND(ABS('Реестр рисков'!$G$5-0.7)&lt;0.001,ABS('Реестр рисков'!$H$5-0.7)&lt;0.001),'Реестр рисков'!$B$5&amp;" ","")&amp;IF(AND(ABS('Реестр рисков'!$G$6-0.7)&lt;0.001,ABS('Реестр рисков'!$H$6-0.7)&lt;0.001),'Реестр рисков'!$B$6&amp;" ","")&amp;IF(AND(ABS('Реестр рисков'!$G$7-0.7)&lt;0.001,ABS('Реестр рисков'!$H$7-0.7)&lt;0.001),'Реестр рисков'!$B$7&amp;" ","")&amp;IF(AND(ABS('Реестр рисков'!$G$8-0.7)&lt;0.001,ABS('Реестр рисков'!$H$8-0.7)&lt;0.001),'Реестр рисков'!$B$8&amp;" ","")&amp;IF(AND(ABS('Реестр рисков'!$G$9-0.7)&lt;0.001,ABS('Реестр рисков'!$H$9-0.7)&lt;0.001),'Реестр рисков'!$B$9&amp;" ","")&amp;IF(AND(ABS('Реестр рисков'!$G$10-0.7)&lt;0.001,ABS('Реестр рисков'!$H$10-0.7)&lt;0.001),'Реестр рисков'!$B$10&amp;" ","")&amp;IF(AND(ABS('Реестр рисков'!$G$11-0.7)&lt;0.001,ABS('Реестр рисков'!$H$11-0.7)&lt;0.001),'Реестр рисков'!$B$11&amp;" ","")&amp;IF(AND(ABS('Реестр рисков'!$G$12-0.7)&lt;0.001,ABS('Реестр рисков'!$H$12-0.7)&lt;0.001),'Реестр рисков'!$B$12&amp;" ","")&amp;IF(AND(ABS('Реестр рисков'!$G$13-0.7)&lt;0.001,ABS('Реестр рисков'!$H$13-0.7)&lt;0.001),'Реестр рисков'!$B$13&amp;" ","")&amp;IF(AND(ABS('Реестр рисков'!$G$14-0.7)&lt;0.001,ABS('Реестр рисков'!$H$14-0.7)&lt;0.001),'Реестр рисков'!$B$14&amp;" ","")&amp;IF(AND(ABS('Реестр рисков'!$G$15-0.7)&lt;0.001,ABS('Реестр рисков'!$H$15-0.7)&lt;0.001),'Реестр рисков'!$B$15&amp;" ","")&amp;IF(AND(ABS('Реестр рисков'!$G$16-0.7)&lt;0.001,ABS('Реестр рисков'!$H$16-0.7)&lt;0.001),'Реестр рисков'!$B$16&amp;" ","")&amp;IF(AND(ABS('Реестр рисков'!$G$17-0.7)&lt;0.001,ABS('Реестр рисков'!$H$17-0.7)&lt;0.001),'Реестр рисков'!$B$17&amp;" ","")&amp;IF(AND(ABS('Реестр рисков'!$G$18-0.7)&lt;0.001,ABS('Реестр рисков'!$H$18-0.7)&lt;0.001),'Реестр рисков'!$B$18&amp;" ","")&amp;IF(AND(ABS('Реестр рисков'!$G$19-0.7)&lt;0.001,ABS('Реестр рисков'!$H$19-0.7)&lt;0.001),'Реестр рисков'!$B$19&amp;" ","")&amp;IF(AND(ABS('Реестр рисков'!$G$20-0.7)&lt;0.001,ABS('Реестр рисков'!$H$20-0.7)&lt;0.001),'Реестр рисков'!$B$20&amp;" ","")&amp;IF(AND(ABS('Реестр рисков'!$G$21-0.7)&lt;0.001,ABS('Реестр рисков'!$H$21-0.7)&lt;0.001),'Реестр рисков'!$B$21&amp;" ","")&amp;IF(AND(ABS('Реестр рисков'!$G$22-0.7)&lt;0.001,ABS('Реестр рисков'!$H$22-0.7)&lt;0.001),'Реестр рисков'!$B$22&amp;" ","")&amp;IF(AND(ABS('Реестр рисков'!$G$23-0.7)&lt;0.001,ABS('Реестр рисков'!$H$23-0.7)&lt;0.001),'Реестр рисков'!$B$23&amp;" ",""))</f>
        <v/>
      </c>
      <c r="J8" s="32" t="str">
        <f>TRIM(IF(AND(ABS('Реестр рисков'!$G$5-0.8)&lt;0.001,ABS('Реестр рисков'!$H$5-0.7)&lt;0.001),'Реестр рисков'!$B$5&amp;" ","")&amp;IF(AND(ABS('Реестр рисков'!$G$6-0.8)&lt;0.001,ABS('Реестр рисков'!$H$6-0.7)&lt;0.001),'Реестр рисков'!$B$6&amp;" ","")&amp;IF(AND(ABS('Реестр рисков'!$G$7-0.8)&lt;0.001,ABS('Реестр рисков'!$H$7-0.7)&lt;0.001),'Реестр рисков'!$B$7&amp;" ","")&amp;IF(AND(ABS('Реестр рисков'!$G$8-0.8)&lt;0.001,ABS('Реестр рисков'!$H$8-0.7)&lt;0.001),'Реестр рисков'!$B$8&amp;" ","")&amp;IF(AND(ABS('Реестр рисков'!$G$9-0.8)&lt;0.001,ABS('Реестр рисков'!$H$9-0.7)&lt;0.001),'Реестр рисков'!$B$9&amp;" ","")&amp;IF(AND(ABS('Реестр рисков'!$G$10-0.8)&lt;0.001,ABS('Реестр рисков'!$H$10-0.7)&lt;0.001),'Реестр рисков'!$B$10&amp;" ","")&amp;IF(AND(ABS('Реестр рисков'!$G$11-0.8)&lt;0.001,ABS('Реестр рисков'!$H$11-0.7)&lt;0.001),'Реестр рисков'!$B$11&amp;" ","")&amp;IF(AND(ABS('Реестр рисков'!$G$12-0.8)&lt;0.001,ABS('Реестр рисков'!$H$12-0.7)&lt;0.001),'Реестр рисков'!$B$12&amp;" ","")&amp;IF(AND(ABS('Реестр рисков'!$G$13-0.8)&lt;0.001,ABS('Реестр рисков'!$H$13-0.7)&lt;0.001),'Реестр рисков'!$B$13&amp;" ","")&amp;IF(AND(ABS('Реестр рисков'!$G$14-0.8)&lt;0.001,ABS('Реестр рисков'!$H$14-0.7)&lt;0.001),'Реестр рисков'!$B$14&amp;" ","")&amp;IF(AND(ABS('Реестр рисков'!$G$15-0.8)&lt;0.001,ABS('Реестр рисков'!$H$15-0.7)&lt;0.001),'Реестр рисков'!$B$15&amp;" ","")&amp;IF(AND(ABS('Реестр рисков'!$G$16-0.8)&lt;0.001,ABS('Реестр рисков'!$H$16-0.7)&lt;0.001),'Реестр рисков'!$B$16&amp;" ","")&amp;IF(AND(ABS('Реестр рисков'!$G$17-0.8)&lt;0.001,ABS('Реестр рисков'!$H$17-0.7)&lt;0.001),'Реестр рисков'!$B$17&amp;" ","")&amp;IF(AND(ABS('Реестр рисков'!$G$18-0.8)&lt;0.001,ABS('Реестр рисков'!$H$18-0.7)&lt;0.001),'Реестр рисков'!$B$18&amp;" ","")&amp;IF(AND(ABS('Реестр рисков'!$G$19-0.8)&lt;0.001,ABS('Реестр рисков'!$H$19-0.7)&lt;0.001),'Реестр рисков'!$B$19&amp;" ","")&amp;IF(AND(ABS('Реестр рисков'!$G$20-0.8)&lt;0.001,ABS('Реестр рисков'!$H$20-0.7)&lt;0.001),'Реестр рисков'!$B$20&amp;" ","")&amp;IF(AND(ABS('Реестр рисков'!$G$21-0.8)&lt;0.001,ABS('Реестр рисков'!$H$21-0.7)&lt;0.001),'Реестр рисков'!$B$21&amp;" ","")&amp;IF(AND(ABS('Реестр рисков'!$G$22-0.8)&lt;0.001,ABS('Реестр рисков'!$H$22-0.7)&lt;0.001),'Реестр рисков'!$B$22&amp;" ","")&amp;IF(AND(ABS('Реестр рисков'!$G$23-0.8)&lt;0.001,ABS('Реестр рисков'!$H$23-0.7)&lt;0.001),'Реестр рисков'!$B$23&amp;" ",""))</f>
        <v>R4</v>
      </c>
      <c r="K8" s="32" t="str">
        <f>TRIM(IF(AND(ABS('Реестр рисков'!$G$5-0.9)&lt;0.001,ABS('Реестр рисков'!$H$5-0.7)&lt;0.001),'Реестр рисков'!$B$5&amp;" ","")&amp;IF(AND(ABS('Реестр рисков'!$G$6-0.9)&lt;0.001,ABS('Реестр рисков'!$H$6-0.7)&lt;0.001),'Реестр рисков'!$B$6&amp;" ","")&amp;IF(AND(ABS('Реестр рисков'!$G$7-0.9)&lt;0.001,ABS('Реестр рисков'!$H$7-0.7)&lt;0.001),'Реестр рисков'!$B$7&amp;" ","")&amp;IF(AND(ABS('Реестр рисков'!$G$8-0.9)&lt;0.001,ABS('Реестр рисков'!$H$8-0.7)&lt;0.001),'Реестр рисков'!$B$8&amp;" ","")&amp;IF(AND(ABS('Реестр рисков'!$G$9-0.9)&lt;0.001,ABS('Реестр рисков'!$H$9-0.7)&lt;0.001),'Реестр рисков'!$B$9&amp;" ","")&amp;IF(AND(ABS('Реестр рисков'!$G$10-0.9)&lt;0.001,ABS('Реестр рисков'!$H$10-0.7)&lt;0.001),'Реестр рисков'!$B$10&amp;" ","")&amp;IF(AND(ABS('Реестр рисков'!$G$11-0.9)&lt;0.001,ABS('Реестр рисков'!$H$11-0.7)&lt;0.001),'Реестр рисков'!$B$11&amp;" ","")&amp;IF(AND(ABS('Реестр рисков'!$G$12-0.9)&lt;0.001,ABS('Реестр рисков'!$H$12-0.7)&lt;0.001),'Реестр рисков'!$B$12&amp;" ","")&amp;IF(AND(ABS('Реестр рисков'!$G$13-0.9)&lt;0.001,ABS('Реестр рисков'!$H$13-0.7)&lt;0.001),'Реестр рисков'!$B$13&amp;" ","")&amp;IF(AND(ABS('Реестр рисков'!$G$14-0.9)&lt;0.001,ABS('Реестр рисков'!$H$14-0.7)&lt;0.001),'Реестр рисков'!$B$14&amp;" ","")&amp;IF(AND(ABS('Реестр рисков'!$G$15-0.9)&lt;0.001,ABS('Реестр рисков'!$H$15-0.7)&lt;0.001),'Реестр рисков'!$B$15&amp;" ","")&amp;IF(AND(ABS('Реестр рисков'!$G$16-0.9)&lt;0.001,ABS('Реестр рисков'!$H$16-0.7)&lt;0.001),'Реестр рисков'!$B$16&amp;" ","")&amp;IF(AND(ABS('Реестр рисков'!$G$17-0.9)&lt;0.001,ABS('Реестр рисков'!$H$17-0.7)&lt;0.001),'Реестр рисков'!$B$17&amp;" ","")&amp;IF(AND(ABS('Реестр рисков'!$G$18-0.9)&lt;0.001,ABS('Реестр рисков'!$H$18-0.7)&lt;0.001),'Реестр рисков'!$B$18&amp;" ","")&amp;IF(AND(ABS('Реестр рисков'!$G$19-0.9)&lt;0.001,ABS('Реестр рисков'!$H$19-0.7)&lt;0.001),'Реестр рисков'!$B$19&amp;" ","")&amp;IF(AND(ABS('Реестр рисков'!$G$20-0.9)&lt;0.001,ABS('Реестр рисков'!$H$20-0.7)&lt;0.001),'Реестр рисков'!$B$20&amp;" ","")&amp;IF(AND(ABS('Реестр рисков'!$G$21-0.9)&lt;0.001,ABS('Реестр рисков'!$H$21-0.7)&lt;0.001),'Реестр рисков'!$B$21&amp;" ","")&amp;IF(AND(ABS('Реестр рисков'!$G$22-0.9)&lt;0.001,ABS('Реестр рисков'!$H$22-0.7)&lt;0.001),'Реестр рисков'!$B$22&amp;" ","")&amp;IF(AND(ABS('Реестр рисков'!$G$23-0.9)&lt;0.001,ABS('Реестр рисков'!$H$23-0.7)&lt;0.001),'Реестр рисков'!$B$23&amp;" ",""))</f>
        <v/>
      </c>
      <c r="L8" s="32" t="str">
        <f>TRIM(IF(AND(ABS('Реестр рисков'!$G$5-1)&lt;0.001,ABS('Реестр рисков'!$H$5-0.7)&lt;0.001),'Реестр рисков'!$B$5&amp;" ","")&amp;IF(AND(ABS('Реестр рисков'!$G$6-1)&lt;0.001,ABS('Реестр рисков'!$H$6-0.7)&lt;0.001),'Реестр рисков'!$B$6&amp;" ","")&amp;IF(AND(ABS('Реестр рисков'!$G$7-1)&lt;0.001,ABS('Реестр рисков'!$H$7-0.7)&lt;0.001),'Реестр рисков'!$B$7&amp;" ","")&amp;IF(AND(ABS('Реестр рисков'!$G$8-1)&lt;0.001,ABS('Реестр рисков'!$H$8-0.7)&lt;0.001),'Реестр рисков'!$B$8&amp;" ","")&amp;IF(AND(ABS('Реестр рисков'!$G$9-1)&lt;0.001,ABS('Реестр рисков'!$H$9-0.7)&lt;0.001),'Реестр рисков'!$B$9&amp;" ","")&amp;IF(AND(ABS('Реестр рисков'!$G$10-1)&lt;0.001,ABS('Реестр рисков'!$H$10-0.7)&lt;0.001),'Реестр рисков'!$B$10&amp;" ","")&amp;IF(AND(ABS('Реестр рисков'!$G$11-1)&lt;0.001,ABS('Реестр рисков'!$H$11-0.7)&lt;0.001),'Реестр рисков'!$B$11&amp;" ","")&amp;IF(AND(ABS('Реестр рисков'!$G$12-1)&lt;0.001,ABS('Реестр рисков'!$H$12-0.7)&lt;0.001),'Реестр рисков'!$B$12&amp;" ","")&amp;IF(AND(ABS('Реестр рисков'!$G$13-1)&lt;0.001,ABS('Реестр рисков'!$H$13-0.7)&lt;0.001),'Реестр рисков'!$B$13&amp;" ","")&amp;IF(AND(ABS('Реестр рисков'!$G$14-1)&lt;0.001,ABS('Реестр рисков'!$H$14-0.7)&lt;0.001),'Реестр рисков'!$B$14&amp;" ","")&amp;IF(AND(ABS('Реестр рисков'!$G$15-1)&lt;0.001,ABS('Реестр рисков'!$H$15-0.7)&lt;0.001),'Реестр рисков'!$B$15&amp;" ","")&amp;IF(AND(ABS('Реестр рисков'!$G$16-1)&lt;0.001,ABS('Реестр рисков'!$H$16-0.7)&lt;0.001),'Реестр рисков'!$B$16&amp;" ","")&amp;IF(AND(ABS('Реестр рисков'!$G$17-1)&lt;0.001,ABS('Реестр рисков'!$H$17-0.7)&lt;0.001),'Реестр рисков'!$B$17&amp;" ","")&amp;IF(AND(ABS('Реестр рисков'!$G$18-1)&lt;0.001,ABS('Реестр рисков'!$H$18-0.7)&lt;0.001),'Реестр рисков'!$B$18&amp;" ","")&amp;IF(AND(ABS('Реестр рисков'!$G$19-1)&lt;0.001,ABS('Реестр рисков'!$H$19-0.7)&lt;0.001),'Реестр рисков'!$B$19&amp;" ","")&amp;IF(AND(ABS('Реестр рисков'!$G$20-1)&lt;0.001,ABS('Реестр рисков'!$H$20-0.7)&lt;0.001),'Реестр рисков'!$B$20&amp;" ","")&amp;IF(AND(ABS('Реестр рисков'!$G$21-1)&lt;0.001,ABS('Реестр рисков'!$H$21-0.7)&lt;0.001),'Реестр рисков'!$B$21&amp;" ","")&amp;IF(AND(ABS('Реестр рисков'!$G$22-1)&lt;0.001,ABS('Реестр рисков'!$H$22-0.7)&lt;0.001),'Реестр рисков'!$B$22&amp;" ","")&amp;IF(AND(ABS('Реестр рисков'!$G$23-1)&lt;0.001,ABS('Реестр рисков'!$H$23-0.7)&lt;0.001),'Реестр рисков'!$B$23&amp;" ",""))</f>
        <v/>
      </c>
    </row>
    <row r="9" spans="1:12" ht="30" customHeight="1" x14ac:dyDescent="0.45">
      <c r="A9" s="5"/>
      <c r="B9" s="29">
        <v>0.6</v>
      </c>
      <c r="C9" s="30" t="str">
        <f>TRIM(IF(AND(ABS('Реестр рисков'!$G$5-0.1)&lt;0.001,ABS('Реестр рисков'!$H$5-0.6)&lt;0.001),'Реестр рисков'!$B$5&amp;" ","")&amp;IF(AND(ABS('Реестр рисков'!$G$6-0.1)&lt;0.001,ABS('Реестр рисков'!$H$6-0.6)&lt;0.001),'Реестр рисков'!$B$6&amp;" ","")&amp;IF(AND(ABS('Реестр рисков'!$G$7-0.1)&lt;0.001,ABS('Реестр рисков'!$H$7-0.6)&lt;0.001),'Реестр рисков'!$B$7&amp;" ","")&amp;IF(AND(ABS('Реестр рисков'!$G$8-0.1)&lt;0.001,ABS('Реестр рисков'!$H$8-0.6)&lt;0.001),'Реестр рисков'!$B$8&amp;" ","")&amp;IF(AND(ABS('Реестр рисков'!$G$9-0.1)&lt;0.001,ABS('Реестр рисков'!$H$9-0.6)&lt;0.001),'Реестр рисков'!$B$9&amp;" ","")&amp;IF(AND(ABS('Реестр рисков'!$G$10-0.1)&lt;0.001,ABS('Реестр рисков'!$H$10-0.6)&lt;0.001),'Реестр рисков'!$B$10&amp;" ","")&amp;IF(AND(ABS('Реестр рисков'!$G$11-0.1)&lt;0.001,ABS('Реестр рисков'!$H$11-0.6)&lt;0.001),'Реестр рисков'!$B$11&amp;" ","")&amp;IF(AND(ABS('Реестр рисков'!$G$12-0.1)&lt;0.001,ABS('Реестр рисков'!$H$12-0.6)&lt;0.001),'Реестр рисков'!$B$12&amp;" ","")&amp;IF(AND(ABS('Реестр рисков'!$G$13-0.1)&lt;0.001,ABS('Реестр рисков'!$H$13-0.6)&lt;0.001),'Реестр рисков'!$B$13&amp;" ","")&amp;IF(AND(ABS('Реестр рисков'!$G$14-0.1)&lt;0.001,ABS('Реестр рисков'!$H$14-0.6)&lt;0.001),'Реестр рисков'!$B$14&amp;" ","")&amp;IF(AND(ABS('Реестр рисков'!$G$15-0.1)&lt;0.001,ABS('Реестр рисков'!$H$15-0.6)&lt;0.001),'Реестр рисков'!$B$15&amp;" ","")&amp;IF(AND(ABS('Реестр рисков'!$G$16-0.1)&lt;0.001,ABS('Реестр рисков'!$H$16-0.6)&lt;0.001),'Реестр рисков'!$B$16&amp;" ","")&amp;IF(AND(ABS('Реестр рисков'!$G$17-0.1)&lt;0.001,ABS('Реестр рисков'!$H$17-0.6)&lt;0.001),'Реестр рисков'!$B$17&amp;" ","")&amp;IF(AND(ABS('Реестр рисков'!$G$18-0.1)&lt;0.001,ABS('Реестр рисков'!$H$18-0.6)&lt;0.001),'Реестр рисков'!$B$18&amp;" ","")&amp;IF(AND(ABS('Реестр рисков'!$G$19-0.1)&lt;0.001,ABS('Реестр рисков'!$H$19-0.6)&lt;0.001),'Реестр рисков'!$B$19&amp;" ","")&amp;IF(AND(ABS('Реестр рисков'!$G$20-0.1)&lt;0.001,ABS('Реестр рисков'!$H$20-0.6)&lt;0.001),'Реестр рисков'!$B$20&amp;" ","")&amp;IF(AND(ABS('Реестр рисков'!$G$21-0.1)&lt;0.001,ABS('Реестр рисков'!$H$21-0.6)&lt;0.001),'Реестр рисков'!$B$21&amp;" ","")&amp;IF(AND(ABS('Реестр рисков'!$G$22-0.1)&lt;0.001,ABS('Реестр рисков'!$H$22-0.6)&lt;0.001),'Реестр рисков'!$B$22&amp;" ","")&amp;IF(AND(ABS('Реестр рисков'!$G$23-0.1)&lt;0.001,ABS('Реестр рисков'!$H$23-0.6)&lt;0.001),'Реестр рисков'!$B$23&amp;" ",""))</f>
        <v/>
      </c>
      <c r="D9" s="30" t="str">
        <f>TRIM(IF(AND(ABS('Реестр рисков'!$G$5-0.2)&lt;0.001,ABS('Реестр рисков'!$H$5-0.6)&lt;0.001),'Реестр рисков'!$B$5&amp;" ","")&amp;IF(AND(ABS('Реестр рисков'!$G$6-0.2)&lt;0.001,ABS('Реестр рисков'!$H$6-0.6)&lt;0.001),'Реестр рисков'!$B$6&amp;" ","")&amp;IF(AND(ABS('Реестр рисков'!$G$7-0.2)&lt;0.001,ABS('Реестр рисков'!$H$7-0.6)&lt;0.001),'Реестр рисков'!$B$7&amp;" ","")&amp;IF(AND(ABS('Реестр рисков'!$G$8-0.2)&lt;0.001,ABS('Реестр рисков'!$H$8-0.6)&lt;0.001),'Реестр рисков'!$B$8&amp;" ","")&amp;IF(AND(ABS('Реестр рисков'!$G$9-0.2)&lt;0.001,ABS('Реестр рисков'!$H$9-0.6)&lt;0.001),'Реестр рисков'!$B$9&amp;" ","")&amp;IF(AND(ABS('Реестр рисков'!$G$10-0.2)&lt;0.001,ABS('Реестр рисков'!$H$10-0.6)&lt;0.001),'Реестр рисков'!$B$10&amp;" ","")&amp;IF(AND(ABS('Реестр рисков'!$G$11-0.2)&lt;0.001,ABS('Реестр рисков'!$H$11-0.6)&lt;0.001),'Реестр рисков'!$B$11&amp;" ","")&amp;IF(AND(ABS('Реестр рисков'!$G$12-0.2)&lt;0.001,ABS('Реестр рисков'!$H$12-0.6)&lt;0.001),'Реестр рисков'!$B$12&amp;" ","")&amp;IF(AND(ABS('Реестр рисков'!$G$13-0.2)&lt;0.001,ABS('Реестр рисков'!$H$13-0.6)&lt;0.001),'Реестр рисков'!$B$13&amp;" ","")&amp;IF(AND(ABS('Реестр рисков'!$G$14-0.2)&lt;0.001,ABS('Реестр рисков'!$H$14-0.6)&lt;0.001),'Реестр рисков'!$B$14&amp;" ","")&amp;IF(AND(ABS('Реестр рисков'!$G$15-0.2)&lt;0.001,ABS('Реестр рисков'!$H$15-0.6)&lt;0.001),'Реестр рисков'!$B$15&amp;" ","")&amp;IF(AND(ABS('Реестр рисков'!$G$16-0.2)&lt;0.001,ABS('Реестр рисков'!$H$16-0.6)&lt;0.001),'Реестр рисков'!$B$16&amp;" ","")&amp;IF(AND(ABS('Реестр рисков'!$G$17-0.2)&lt;0.001,ABS('Реестр рисков'!$H$17-0.6)&lt;0.001),'Реестр рисков'!$B$17&amp;" ","")&amp;IF(AND(ABS('Реестр рисков'!$G$18-0.2)&lt;0.001,ABS('Реестр рисков'!$H$18-0.6)&lt;0.001),'Реестр рисков'!$B$18&amp;" ","")&amp;IF(AND(ABS('Реестр рисков'!$G$19-0.2)&lt;0.001,ABS('Реестр рисков'!$H$19-0.6)&lt;0.001),'Реестр рисков'!$B$19&amp;" ","")&amp;IF(AND(ABS('Реестр рисков'!$G$20-0.2)&lt;0.001,ABS('Реестр рисков'!$H$20-0.6)&lt;0.001),'Реестр рисков'!$B$20&amp;" ","")&amp;IF(AND(ABS('Реестр рисков'!$G$21-0.2)&lt;0.001,ABS('Реестр рисков'!$H$21-0.6)&lt;0.001),'Реестр рисков'!$B$21&amp;" ","")&amp;IF(AND(ABS('Реестр рисков'!$G$22-0.2)&lt;0.001,ABS('Реестр рисков'!$H$22-0.6)&lt;0.001),'Реестр рисков'!$B$22&amp;" ","")&amp;IF(AND(ABS('Реестр рисков'!$G$23-0.2)&lt;0.001,ABS('Реестр рисков'!$H$23-0.6)&lt;0.001),'Реестр рисков'!$B$23&amp;" ",""))</f>
        <v>R17</v>
      </c>
      <c r="E9" s="31" t="str">
        <f>TRIM(IF(AND(ABS('Реестр рисков'!$G$5-0.3)&lt;0.001,ABS('Реестр рисков'!$H$5-0.6)&lt;0.001),'Реестр рисков'!$B$5&amp;" ","")&amp;IF(AND(ABS('Реестр рисков'!$G$6-0.3)&lt;0.001,ABS('Реестр рисков'!$H$6-0.6)&lt;0.001),'Реестр рисков'!$B$6&amp;" ","")&amp;IF(AND(ABS('Реестр рисков'!$G$7-0.3)&lt;0.001,ABS('Реестр рисков'!$H$7-0.6)&lt;0.001),'Реестр рисков'!$B$7&amp;" ","")&amp;IF(AND(ABS('Реестр рисков'!$G$8-0.3)&lt;0.001,ABS('Реестр рисков'!$H$8-0.6)&lt;0.001),'Реестр рисков'!$B$8&amp;" ","")&amp;IF(AND(ABS('Реестр рисков'!$G$9-0.3)&lt;0.001,ABS('Реестр рисков'!$H$9-0.6)&lt;0.001),'Реестр рисков'!$B$9&amp;" ","")&amp;IF(AND(ABS('Реестр рисков'!$G$10-0.3)&lt;0.001,ABS('Реестр рисков'!$H$10-0.6)&lt;0.001),'Реестр рисков'!$B$10&amp;" ","")&amp;IF(AND(ABS('Реестр рисков'!$G$11-0.3)&lt;0.001,ABS('Реестр рисков'!$H$11-0.6)&lt;0.001),'Реестр рисков'!$B$11&amp;" ","")&amp;IF(AND(ABS('Реестр рисков'!$G$12-0.3)&lt;0.001,ABS('Реестр рисков'!$H$12-0.6)&lt;0.001),'Реестр рисков'!$B$12&amp;" ","")&amp;IF(AND(ABS('Реестр рисков'!$G$13-0.3)&lt;0.001,ABS('Реестр рисков'!$H$13-0.6)&lt;0.001),'Реестр рисков'!$B$13&amp;" ","")&amp;IF(AND(ABS('Реестр рисков'!$G$14-0.3)&lt;0.001,ABS('Реестр рисков'!$H$14-0.6)&lt;0.001),'Реестр рисков'!$B$14&amp;" ","")&amp;IF(AND(ABS('Реестр рисков'!$G$15-0.3)&lt;0.001,ABS('Реестр рисков'!$H$15-0.6)&lt;0.001),'Реестр рисков'!$B$15&amp;" ","")&amp;IF(AND(ABS('Реестр рисков'!$G$16-0.3)&lt;0.001,ABS('Реестр рисков'!$H$16-0.6)&lt;0.001),'Реестр рисков'!$B$16&amp;" ","")&amp;IF(AND(ABS('Реестр рисков'!$G$17-0.3)&lt;0.001,ABS('Реестр рисков'!$H$17-0.6)&lt;0.001),'Реестр рисков'!$B$17&amp;" ","")&amp;IF(AND(ABS('Реестр рисков'!$G$18-0.3)&lt;0.001,ABS('Реестр рисков'!$H$18-0.6)&lt;0.001),'Реестр рисков'!$B$18&amp;" ","")&amp;IF(AND(ABS('Реестр рисков'!$G$19-0.3)&lt;0.001,ABS('Реестр рисков'!$H$19-0.6)&lt;0.001),'Реестр рисков'!$B$19&amp;" ","")&amp;IF(AND(ABS('Реестр рисков'!$G$20-0.3)&lt;0.001,ABS('Реестр рисков'!$H$20-0.6)&lt;0.001),'Реестр рисков'!$B$20&amp;" ","")&amp;IF(AND(ABS('Реестр рисков'!$G$21-0.3)&lt;0.001,ABS('Реестр рисков'!$H$21-0.6)&lt;0.001),'Реестр рисков'!$B$21&amp;" ","")&amp;IF(AND(ABS('Реестр рисков'!$G$22-0.3)&lt;0.001,ABS('Реестр рисков'!$H$22-0.6)&lt;0.001),'Реестр рисков'!$B$22&amp;" ","")&amp;IF(AND(ABS('Реестр рисков'!$G$23-0.3)&lt;0.001,ABS('Реестр рисков'!$H$23-0.6)&lt;0.001),'Реестр рисков'!$B$23&amp;" ",""))</f>
        <v/>
      </c>
      <c r="F9" s="31" t="str">
        <f>TRIM(IF(AND(ABS('Реестр рисков'!$G$5-0.4)&lt;0.001,ABS('Реестр рисков'!$H$5-0.6)&lt;0.001),'Реестр рисков'!$B$5&amp;" ","")&amp;IF(AND(ABS('Реестр рисков'!$G$6-0.4)&lt;0.001,ABS('Реестр рисков'!$H$6-0.6)&lt;0.001),'Реестр рисков'!$B$6&amp;" ","")&amp;IF(AND(ABS('Реестр рисков'!$G$7-0.4)&lt;0.001,ABS('Реестр рисков'!$H$7-0.6)&lt;0.001),'Реестр рисков'!$B$7&amp;" ","")&amp;IF(AND(ABS('Реестр рисков'!$G$8-0.4)&lt;0.001,ABS('Реестр рисков'!$H$8-0.6)&lt;0.001),'Реестр рисков'!$B$8&amp;" ","")&amp;IF(AND(ABS('Реестр рисков'!$G$9-0.4)&lt;0.001,ABS('Реестр рисков'!$H$9-0.6)&lt;0.001),'Реестр рисков'!$B$9&amp;" ","")&amp;IF(AND(ABS('Реестр рисков'!$G$10-0.4)&lt;0.001,ABS('Реестр рисков'!$H$10-0.6)&lt;0.001),'Реестр рисков'!$B$10&amp;" ","")&amp;IF(AND(ABS('Реестр рисков'!$G$11-0.4)&lt;0.001,ABS('Реестр рисков'!$H$11-0.6)&lt;0.001),'Реестр рисков'!$B$11&amp;" ","")&amp;IF(AND(ABS('Реестр рисков'!$G$12-0.4)&lt;0.001,ABS('Реестр рисков'!$H$12-0.6)&lt;0.001),'Реестр рисков'!$B$12&amp;" ","")&amp;IF(AND(ABS('Реестр рисков'!$G$13-0.4)&lt;0.001,ABS('Реестр рисков'!$H$13-0.6)&lt;0.001),'Реестр рисков'!$B$13&amp;" ","")&amp;IF(AND(ABS('Реестр рисков'!$G$14-0.4)&lt;0.001,ABS('Реестр рисков'!$H$14-0.6)&lt;0.001),'Реестр рисков'!$B$14&amp;" ","")&amp;IF(AND(ABS('Реестр рисков'!$G$15-0.4)&lt;0.001,ABS('Реестр рисков'!$H$15-0.6)&lt;0.001),'Реестр рисков'!$B$15&amp;" ","")&amp;IF(AND(ABS('Реестр рисков'!$G$16-0.4)&lt;0.001,ABS('Реестр рисков'!$H$16-0.6)&lt;0.001),'Реестр рисков'!$B$16&amp;" ","")&amp;IF(AND(ABS('Реестр рисков'!$G$17-0.4)&lt;0.001,ABS('Реестр рисков'!$H$17-0.6)&lt;0.001),'Реестр рисков'!$B$17&amp;" ","")&amp;IF(AND(ABS('Реестр рисков'!$G$18-0.4)&lt;0.001,ABS('Реестр рисков'!$H$18-0.6)&lt;0.001),'Реестр рисков'!$B$18&amp;" ","")&amp;IF(AND(ABS('Реестр рисков'!$G$19-0.4)&lt;0.001,ABS('Реестр рисков'!$H$19-0.6)&lt;0.001),'Реестр рисков'!$B$19&amp;" ","")&amp;IF(AND(ABS('Реестр рисков'!$G$20-0.4)&lt;0.001,ABS('Реестр рисков'!$H$20-0.6)&lt;0.001),'Реестр рисков'!$B$20&amp;" ","")&amp;IF(AND(ABS('Реестр рисков'!$G$21-0.4)&lt;0.001,ABS('Реестр рисков'!$H$21-0.6)&lt;0.001),'Реестр рисков'!$B$21&amp;" ","")&amp;IF(AND(ABS('Реестр рисков'!$G$22-0.4)&lt;0.001,ABS('Реестр рисков'!$H$22-0.6)&lt;0.001),'Реестр рисков'!$B$22&amp;" ","")&amp;IF(AND(ABS('Реестр рисков'!$G$23-0.4)&lt;0.001,ABS('Реестр рисков'!$H$23-0.6)&lt;0.001),'Реестр рисков'!$B$23&amp;" ",""))</f>
        <v>R10</v>
      </c>
      <c r="G9" s="31" t="str">
        <f>TRIM(IF(AND(ABS('Реестр рисков'!$G$5-0.5)&lt;0.001,ABS('Реестр рисков'!$H$5-0.6)&lt;0.001),'Реестр рисков'!$B$5&amp;" ","")&amp;IF(AND(ABS('Реестр рисков'!$G$6-0.5)&lt;0.001,ABS('Реестр рисков'!$H$6-0.6)&lt;0.001),'Реестр рисков'!$B$6&amp;" ","")&amp;IF(AND(ABS('Реестр рисков'!$G$7-0.5)&lt;0.001,ABS('Реестр рисков'!$H$7-0.6)&lt;0.001),'Реестр рисков'!$B$7&amp;" ","")&amp;IF(AND(ABS('Реестр рисков'!$G$8-0.5)&lt;0.001,ABS('Реестр рисков'!$H$8-0.6)&lt;0.001),'Реестр рисков'!$B$8&amp;" ","")&amp;IF(AND(ABS('Реестр рисков'!$G$9-0.5)&lt;0.001,ABS('Реестр рисков'!$H$9-0.6)&lt;0.001),'Реестр рисков'!$B$9&amp;" ","")&amp;IF(AND(ABS('Реестр рисков'!$G$10-0.5)&lt;0.001,ABS('Реестр рисков'!$H$10-0.6)&lt;0.001),'Реестр рисков'!$B$10&amp;" ","")&amp;IF(AND(ABS('Реестр рисков'!$G$11-0.5)&lt;0.001,ABS('Реестр рисков'!$H$11-0.6)&lt;0.001),'Реестр рисков'!$B$11&amp;" ","")&amp;IF(AND(ABS('Реестр рисков'!$G$12-0.5)&lt;0.001,ABS('Реестр рисков'!$H$12-0.6)&lt;0.001),'Реестр рисков'!$B$12&amp;" ","")&amp;IF(AND(ABS('Реестр рисков'!$G$13-0.5)&lt;0.001,ABS('Реестр рисков'!$H$13-0.6)&lt;0.001),'Реестр рисков'!$B$13&amp;" ","")&amp;IF(AND(ABS('Реестр рисков'!$G$14-0.5)&lt;0.001,ABS('Реестр рисков'!$H$14-0.6)&lt;0.001),'Реестр рисков'!$B$14&amp;" ","")&amp;IF(AND(ABS('Реестр рисков'!$G$15-0.5)&lt;0.001,ABS('Реестр рисков'!$H$15-0.6)&lt;0.001),'Реестр рисков'!$B$15&amp;" ","")&amp;IF(AND(ABS('Реестр рисков'!$G$16-0.5)&lt;0.001,ABS('Реестр рисков'!$H$16-0.6)&lt;0.001),'Реестр рисков'!$B$16&amp;" ","")&amp;IF(AND(ABS('Реестр рисков'!$G$17-0.5)&lt;0.001,ABS('Реестр рисков'!$H$17-0.6)&lt;0.001),'Реестр рисков'!$B$17&amp;" ","")&amp;IF(AND(ABS('Реестр рисков'!$G$18-0.5)&lt;0.001,ABS('Реестр рисков'!$H$18-0.6)&lt;0.001),'Реестр рисков'!$B$18&amp;" ","")&amp;IF(AND(ABS('Реестр рисков'!$G$19-0.5)&lt;0.001,ABS('Реестр рисков'!$H$19-0.6)&lt;0.001),'Реестр рисков'!$B$19&amp;" ","")&amp;IF(AND(ABS('Реестр рисков'!$G$20-0.5)&lt;0.001,ABS('Реестр рисков'!$H$20-0.6)&lt;0.001),'Реестр рисков'!$B$20&amp;" ","")&amp;IF(AND(ABS('Реестр рисков'!$G$21-0.5)&lt;0.001,ABS('Реестр рисков'!$H$21-0.6)&lt;0.001),'Реестр рисков'!$B$21&amp;" ","")&amp;IF(AND(ABS('Реестр рисков'!$G$22-0.5)&lt;0.001,ABS('Реестр рисков'!$H$22-0.6)&lt;0.001),'Реестр рисков'!$B$22&amp;" ","")&amp;IF(AND(ABS('Реестр рисков'!$G$23-0.5)&lt;0.001,ABS('Реестр рисков'!$H$23-0.6)&lt;0.001),'Реестр рисков'!$B$23&amp;" ",""))</f>
        <v>R8</v>
      </c>
      <c r="H9" s="31" t="str">
        <f>TRIM(IF(AND(ABS('Реестр рисков'!$G$5-0.6)&lt;0.001,ABS('Реестр рисков'!$H$5-0.6)&lt;0.001),'Реестр рисков'!$B$5&amp;" ","")&amp;IF(AND(ABS('Реестр рисков'!$G$6-0.6)&lt;0.001,ABS('Реестр рисков'!$H$6-0.6)&lt;0.001),'Реестр рисков'!$B$6&amp;" ","")&amp;IF(AND(ABS('Реестр рисков'!$G$7-0.6)&lt;0.001,ABS('Реестр рисков'!$H$7-0.6)&lt;0.001),'Реестр рисков'!$B$7&amp;" ","")&amp;IF(AND(ABS('Реестр рисков'!$G$8-0.6)&lt;0.001,ABS('Реестр рисков'!$H$8-0.6)&lt;0.001),'Реестр рисков'!$B$8&amp;" ","")&amp;IF(AND(ABS('Реестр рисков'!$G$9-0.6)&lt;0.001,ABS('Реестр рисков'!$H$9-0.6)&lt;0.001),'Реестр рисков'!$B$9&amp;" ","")&amp;IF(AND(ABS('Реестр рисков'!$G$10-0.6)&lt;0.001,ABS('Реестр рисков'!$H$10-0.6)&lt;0.001),'Реестр рисков'!$B$10&amp;" ","")&amp;IF(AND(ABS('Реестр рисков'!$G$11-0.6)&lt;0.001,ABS('Реестр рисков'!$H$11-0.6)&lt;0.001),'Реестр рисков'!$B$11&amp;" ","")&amp;IF(AND(ABS('Реестр рисков'!$G$12-0.6)&lt;0.001,ABS('Реестр рисков'!$H$12-0.6)&lt;0.001),'Реестр рисков'!$B$12&amp;" ","")&amp;IF(AND(ABS('Реестр рисков'!$G$13-0.6)&lt;0.001,ABS('Реестр рисков'!$H$13-0.6)&lt;0.001),'Реестр рисков'!$B$13&amp;" ","")&amp;IF(AND(ABS('Реестр рисков'!$G$14-0.6)&lt;0.001,ABS('Реестр рисков'!$H$14-0.6)&lt;0.001),'Реестр рисков'!$B$14&amp;" ","")&amp;IF(AND(ABS('Реестр рисков'!$G$15-0.6)&lt;0.001,ABS('Реестр рисков'!$H$15-0.6)&lt;0.001),'Реестр рисков'!$B$15&amp;" ","")&amp;IF(AND(ABS('Реестр рисков'!$G$16-0.6)&lt;0.001,ABS('Реестр рисков'!$H$16-0.6)&lt;0.001),'Реестр рисков'!$B$16&amp;" ","")&amp;IF(AND(ABS('Реестр рисков'!$G$17-0.6)&lt;0.001,ABS('Реестр рисков'!$H$17-0.6)&lt;0.001),'Реестр рисков'!$B$17&amp;" ","")&amp;IF(AND(ABS('Реестр рисков'!$G$18-0.6)&lt;0.001,ABS('Реестр рисков'!$H$18-0.6)&lt;0.001),'Реестр рисков'!$B$18&amp;" ","")&amp;IF(AND(ABS('Реестр рисков'!$G$19-0.6)&lt;0.001,ABS('Реестр рисков'!$H$19-0.6)&lt;0.001),'Реестр рисков'!$B$19&amp;" ","")&amp;IF(AND(ABS('Реестр рисков'!$G$20-0.6)&lt;0.001,ABS('Реестр рисков'!$H$20-0.6)&lt;0.001),'Реестр рисков'!$B$20&amp;" ","")&amp;IF(AND(ABS('Реестр рисков'!$G$21-0.6)&lt;0.001,ABS('Реестр рисков'!$H$21-0.6)&lt;0.001),'Реестр рисков'!$B$21&amp;" ","")&amp;IF(AND(ABS('Реестр рисков'!$G$22-0.6)&lt;0.001,ABS('Реестр рисков'!$H$22-0.6)&lt;0.001),'Реестр рисков'!$B$22&amp;" ","")&amp;IF(AND(ABS('Реестр рисков'!$G$23-0.6)&lt;0.001,ABS('Реестр рисков'!$H$23-0.6)&lt;0.001),'Реестр рисков'!$B$23&amp;" ",""))</f>
        <v>R6</v>
      </c>
      <c r="I9" s="31" t="str">
        <f>TRIM(IF(AND(ABS('Реестр рисков'!$G$5-0.7)&lt;0.001,ABS('Реестр рисков'!$H$5-0.6)&lt;0.001),'Реестр рисков'!$B$5&amp;" ","")&amp;IF(AND(ABS('Реестр рисков'!$G$6-0.7)&lt;0.001,ABS('Реестр рисков'!$H$6-0.6)&lt;0.001),'Реестр рисков'!$B$6&amp;" ","")&amp;IF(AND(ABS('Реестр рисков'!$G$7-0.7)&lt;0.001,ABS('Реестр рисков'!$H$7-0.6)&lt;0.001),'Реестр рисков'!$B$7&amp;" ","")&amp;IF(AND(ABS('Реестр рисков'!$G$8-0.7)&lt;0.001,ABS('Реестр рисков'!$H$8-0.6)&lt;0.001),'Реестр рисков'!$B$8&amp;" ","")&amp;IF(AND(ABS('Реестр рисков'!$G$9-0.7)&lt;0.001,ABS('Реестр рисков'!$H$9-0.6)&lt;0.001),'Реестр рисков'!$B$9&amp;" ","")&amp;IF(AND(ABS('Реестр рисков'!$G$10-0.7)&lt;0.001,ABS('Реестр рисков'!$H$10-0.6)&lt;0.001),'Реестр рисков'!$B$10&amp;" ","")&amp;IF(AND(ABS('Реестр рисков'!$G$11-0.7)&lt;0.001,ABS('Реестр рисков'!$H$11-0.6)&lt;0.001),'Реестр рисков'!$B$11&amp;" ","")&amp;IF(AND(ABS('Реестр рисков'!$G$12-0.7)&lt;0.001,ABS('Реестр рисков'!$H$12-0.6)&lt;0.001),'Реестр рисков'!$B$12&amp;" ","")&amp;IF(AND(ABS('Реестр рисков'!$G$13-0.7)&lt;0.001,ABS('Реестр рисков'!$H$13-0.6)&lt;0.001),'Реестр рисков'!$B$13&amp;" ","")&amp;IF(AND(ABS('Реестр рисков'!$G$14-0.7)&lt;0.001,ABS('Реестр рисков'!$H$14-0.6)&lt;0.001),'Реестр рисков'!$B$14&amp;" ","")&amp;IF(AND(ABS('Реестр рисков'!$G$15-0.7)&lt;0.001,ABS('Реестр рисков'!$H$15-0.6)&lt;0.001),'Реестр рисков'!$B$15&amp;" ","")&amp;IF(AND(ABS('Реестр рисков'!$G$16-0.7)&lt;0.001,ABS('Реестр рисков'!$H$16-0.6)&lt;0.001),'Реестр рисков'!$B$16&amp;" ","")&amp;IF(AND(ABS('Реестр рисков'!$G$17-0.7)&lt;0.001,ABS('Реестр рисков'!$H$17-0.6)&lt;0.001),'Реестр рисков'!$B$17&amp;" ","")&amp;IF(AND(ABS('Реестр рисков'!$G$18-0.7)&lt;0.001,ABS('Реестр рисков'!$H$18-0.6)&lt;0.001),'Реестр рисков'!$B$18&amp;" ","")&amp;IF(AND(ABS('Реестр рисков'!$G$19-0.7)&lt;0.001,ABS('Реестр рисков'!$H$19-0.6)&lt;0.001),'Реестр рисков'!$B$19&amp;" ","")&amp;IF(AND(ABS('Реестр рисков'!$G$20-0.7)&lt;0.001,ABS('Реестр рисков'!$H$20-0.6)&lt;0.001),'Реестр рисков'!$B$20&amp;" ","")&amp;IF(AND(ABS('Реестр рисков'!$G$21-0.7)&lt;0.001,ABS('Реестр рисков'!$H$21-0.6)&lt;0.001),'Реестр рисков'!$B$21&amp;" ","")&amp;IF(AND(ABS('Реестр рисков'!$G$22-0.7)&lt;0.001,ABS('Реестр рисков'!$H$22-0.6)&lt;0.001),'Реестр рисков'!$B$22&amp;" ","")&amp;IF(AND(ABS('Реестр рисков'!$G$23-0.7)&lt;0.001,ABS('Реестр рисков'!$H$23-0.6)&lt;0.001),'Реестр рисков'!$B$23&amp;" ",""))</f>
        <v/>
      </c>
      <c r="J9" s="31" t="str">
        <f>TRIM(IF(AND(ABS('Реестр рисков'!$G$5-0.8)&lt;0.001,ABS('Реестр рисков'!$H$5-0.6)&lt;0.001),'Реестр рисков'!$B$5&amp;" ","")&amp;IF(AND(ABS('Реестр рисков'!$G$6-0.8)&lt;0.001,ABS('Реестр рисков'!$H$6-0.6)&lt;0.001),'Реестр рисков'!$B$6&amp;" ","")&amp;IF(AND(ABS('Реестр рисков'!$G$7-0.8)&lt;0.001,ABS('Реестр рисков'!$H$7-0.6)&lt;0.001),'Реестр рисков'!$B$7&amp;" ","")&amp;IF(AND(ABS('Реестр рисков'!$G$8-0.8)&lt;0.001,ABS('Реестр рисков'!$H$8-0.6)&lt;0.001),'Реестр рисков'!$B$8&amp;" ","")&amp;IF(AND(ABS('Реестр рисков'!$G$9-0.8)&lt;0.001,ABS('Реестр рисков'!$H$9-0.6)&lt;0.001),'Реестр рисков'!$B$9&amp;" ","")&amp;IF(AND(ABS('Реестр рисков'!$G$10-0.8)&lt;0.001,ABS('Реестр рисков'!$H$10-0.6)&lt;0.001),'Реестр рисков'!$B$10&amp;" ","")&amp;IF(AND(ABS('Реестр рисков'!$G$11-0.8)&lt;0.001,ABS('Реестр рисков'!$H$11-0.6)&lt;0.001),'Реестр рисков'!$B$11&amp;" ","")&amp;IF(AND(ABS('Реестр рисков'!$G$12-0.8)&lt;0.001,ABS('Реестр рисков'!$H$12-0.6)&lt;0.001),'Реестр рисков'!$B$12&amp;" ","")&amp;IF(AND(ABS('Реестр рисков'!$G$13-0.8)&lt;0.001,ABS('Реестр рисков'!$H$13-0.6)&lt;0.001),'Реестр рисков'!$B$13&amp;" ","")&amp;IF(AND(ABS('Реестр рисков'!$G$14-0.8)&lt;0.001,ABS('Реестр рисков'!$H$14-0.6)&lt;0.001),'Реестр рисков'!$B$14&amp;" ","")&amp;IF(AND(ABS('Реестр рисков'!$G$15-0.8)&lt;0.001,ABS('Реестр рисков'!$H$15-0.6)&lt;0.001),'Реестр рисков'!$B$15&amp;" ","")&amp;IF(AND(ABS('Реестр рисков'!$G$16-0.8)&lt;0.001,ABS('Реестр рисков'!$H$16-0.6)&lt;0.001),'Реестр рисков'!$B$16&amp;" ","")&amp;IF(AND(ABS('Реестр рисков'!$G$17-0.8)&lt;0.001,ABS('Реестр рисков'!$H$17-0.6)&lt;0.001),'Реестр рисков'!$B$17&amp;" ","")&amp;IF(AND(ABS('Реестр рисков'!$G$18-0.8)&lt;0.001,ABS('Реестр рисков'!$H$18-0.6)&lt;0.001),'Реестр рисков'!$B$18&amp;" ","")&amp;IF(AND(ABS('Реестр рисков'!$G$19-0.8)&lt;0.001,ABS('Реестр рисков'!$H$19-0.6)&lt;0.001),'Реестр рисков'!$B$19&amp;" ","")&amp;IF(AND(ABS('Реестр рисков'!$G$20-0.8)&lt;0.001,ABS('Реестр рисков'!$H$20-0.6)&lt;0.001),'Реестр рисков'!$B$20&amp;" ","")&amp;IF(AND(ABS('Реестр рисков'!$G$21-0.8)&lt;0.001,ABS('Реестр рисков'!$H$21-0.6)&lt;0.001),'Реестр рисков'!$B$21&amp;" ","")&amp;IF(AND(ABS('Реестр рисков'!$G$22-0.8)&lt;0.001,ABS('Реестр рисков'!$H$22-0.6)&lt;0.001),'Реестр рисков'!$B$22&amp;" ","")&amp;IF(AND(ABS('Реестр рисков'!$G$23-0.8)&lt;0.001,ABS('Реестр рисков'!$H$23-0.6)&lt;0.001),'Реестр рисков'!$B$23&amp;" ",""))</f>
        <v/>
      </c>
      <c r="K9" s="32" t="str">
        <f>TRIM(IF(AND(ABS('Реестр рисков'!$G$5-0.9)&lt;0.001,ABS('Реестр рисков'!$H$5-0.6)&lt;0.001),'Реестр рисков'!$B$5&amp;" ","")&amp;IF(AND(ABS('Реестр рисков'!$G$6-0.9)&lt;0.001,ABS('Реестр рисков'!$H$6-0.6)&lt;0.001),'Реестр рисков'!$B$6&amp;" ","")&amp;IF(AND(ABS('Реестр рисков'!$G$7-0.9)&lt;0.001,ABS('Реестр рисков'!$H$7-0.6)&lt;0.001),'Реестр рисков'!$B$7&amp;" ","")&amp;IF(AND(ABS('Реестр рисков'!$G$8-0.9)&lt;0.001,ABS('Реестр рисков'!$H$8-0.6)&lt;0.001),'Реестр рисков'!$B$8&amp;" ","")&amp;IF(AND(ABS('Реестр рисков'!$G$9-0.9)&lt;0.001,ABS('Реестр рисков'!$H$9-0.6)&lt;0.001),'Реестр рисков'!$B$9&amp;" ","")&amp;IF(AND(ABS('Реестр рисков'!$G$10-0.9)&lt;0.001,ABS('Реестр рисков'!$H$10-0.6)&lt;0.001),'Реестр рисков'!$B$10&amp;" ","")&amp;IF(AND(ABS('Реестр рисков'!$G$11-0.9)&lt;0.001,ABS('Реестр рисков'!$H$11-0.6)&lt;0.001),'Реестр рисков'!$B$11&amp;" ","")&amp;IF(AND(ABS('Реестр рисков'!$G$12-0.9)&lt;0.001,ABS('Реестр рисков'!$H$12-0.6)&lt;0.001),'Реестр рисков'!$B$12&amp;" ","")&amp;IF(AND(ABS('Реестр рисков'!$G$13-0.9)&lt;0.001,ABS('Реестр рисков'!$H$13-0.6)&lt;0.001),'Реестр рисков'!$B$13&amp;" ","")&amp;IF(AND(ABS('Реестр рисков'!$G$14-0.9)&lt;0.001,ABS('Реестр рисков'!$H$14-0.6)&lt;0.001),'Реестр рисков'!$B$14&amp;" ","")&amp;IF(AND(ABS('Реестр рисков'!$G$15-0.9)&lt;0.001,ABS('Реестр рисков'!$H$15-0.6)&lt;0.001),'Реестр рисков'!$B$15&amp;" ","")&amp;IF(AND(ABS('Реестр рисков'!$G$16-0.9)&lt;0.001,ABS('Реестр рисков'!$H$16-0.6)&lt;0.001),'Реестр рисков'!$B$16&amp;" ","")&amp;IF(AND(ABS('Реестр рисков'!$G$17-0.9)&lt;0.001,ABS('Реестр рисков'!$H$17-0.6)&lt;0.001),'Реестр рисков'!$B$17&amp;" ","")&amp;IF(AND(ABS('Реестр рисков'!$G$18-0.9)&lt;0.001,ABS('Реестр рисков'!$H$18-0.6)&lt;0.001),'Реестр рисков'!$B$18&amp;" ","")&amp;IF(AND(ABS('Реестр рисков'!$G$19-0.9)&lt;0.001,ABS('Реестр рисков'!$H$19-0.6)&lt;0.001),'Реестр рисков'!$B$19&amp;" ","")&amp;IF(AND(ABS('Реестр рисков'!$G$20-0.9)&lt;0.001,ABS('Реестр рисков'!$H$20-0.6)&lt;0.001),'Реестр рисков'!$B$20&amp;" ","")&amp;IF(AND(ABS('Реестр рисков'!$G$21-0.9)&lt;0.001,ABS('Реестр рисков'!$H$21-0.6)&lt;0.001),'Реестр рисков'!$B$21&amp;" ","")&amp;IF(AND(ABS('Реестр рисков'!$G$22-0.9)&lt;0.001,ABS('Реестр рисков'!$H$22-0.6)&lt;0.001),'Реестр рисков'!$B$22&amp;" ","")&amp;IF(AND(ABS('Реестр рисков'!$G$23-0.9)&lt;0.001,ABS('Реестр рисков'!$H$23-0.6)&lt;0.001),'Реестр рисков'!$B$23&amp;" ",""))</f>
        <v/>
      </c>
      <c r="L9" s="32" t="str">
        <f>TRIM(IF(AND(ABS('Реестр рисков'!$G$5-1)&lt;0.001,ABS('Реестр рисков'!$H$5-0.6)&lt;0.001),'Реестр рисков'!$B$5&amp;" ","")&amp;IF(AND(ABS('Реестр рисков'!$G$6-1)&lt;0.001,ABS('Реестр рисков'!$H$6-0.6)&lt;0.001),'Реестр рисков'!$B$6&amp;" ","")&amp;IF(AND(ABS('Реестр рисков'!$G$7-1)&lt;0.001,ABS('Реестр рисков'!$H$7-0.6)&lt;0.001),'Реестр рисков'!$B$7&amp;" ","")&amp;IF(AND(ABS('Реестр рисков'!$G$8-1)&lt;0.001,ABS('Реестр рисков'!$H$8-0.6)&lt;0.001),'Реестр рисков'!$B$8&amp;" ","")&amp;IF(AND(ABS('Реестр рисков'!$G$9-1)&lt;0.001,ABS('Реестр рисков'!$H$9-0.6)&lt;0.001),'Реестр рисков'!$B$9&amp;" ","")&amp;IF(AND(ABS('Реестр рисков'!$G$10-1)&lt;0.001,ABS('Реестр рисков'!$H$10-0.6)&lt;0.001),'Реестр рисков'!$B$10&amp;" ","")&amp;IF(AND(ABS('Реестр рисков'!$G$11-1)&lt;0.001,ABS('Реестр рисков'!$H$11-0.6)&lt;0.001),'Реестр рисков'!$B$11&amp;" ","")&amp;IF(AND(ABS('Реестр рисков'!$G$12-1)&lt;0.001,ABS('Реестр рисков'!$H$12-0.6)&lt;0.001),'Реестр рисков'!$B$12&amp;" ","")&amp;IF(AND(ABS('Реестр рисков'!$G$13-1)&lt;0.001,ABS('Реестр рисков'!$H$13-0.6)&lt;0.001),'Реестр рисков'!$B$13&amp;" ","")&amp;IF(AND(ABS('Реестр рисков'!$G$14-1)&lt;0.001,ABS('Реестр рисков'!$H$14-0.6)&lt;0.001),'Реестр рисков'!$B$14&amp;" ","")&amp;IF(AND(ABS('Реестр рисков'!$G$15-1)&lt;0.001,ABS('Реестр рисков'!$H$15-0.6)&lt;0.001),'Реестр рисков'!$B$15&amp;" ","")&amp;IF(AND(ABS('Реестр рисков'!$G$16-1)&lt;0.001,ABS('Реестр рисков'!$H$16-0.6)&lt;0.001),'Реестр рисков'!$B$16&amp;" ","")&amp;IF(AND(ABS('Реестр рисков'!$G$17-1)&lt;0.001,ABS('Реестр рисков'!$H$17-0.6)&lt;0.001),'Реестр рисков'!$B$17&amp;" ","")&amp;IF(AND(ABS('Реестр рисков'!$G$18-1)&lt;0.001,ABS('Реестр рисков'!$H$18-0.6)&lt;0.001),'Реестр рисков'!$B$18&amp;" ","")&amp;IF(AND(ABS('Реестр рисков'!$G$19-1)&lt;0.001,ABS('Реестр рисков'!$H$19-0.6)&lt;0.001),'Реестр рисков'!$B$19&amp;" ","")&amp;IF(AND(ABS('Реестр рисков'!$G$20-1)&lt;0.001,ABS('Реестр рисков'!$H$20-0.6)&lt;0.001),'Реестр рисков'!$B$20&amp;" ","")&amp;IF(AND(ABS('Реестр рисков'!$G$21-1)&lt;0.001,ABS('Реестр рисков'!$H$21-0.6)&lt;0.001),'Реестр рисков'!$B$21&amp;" ","")&amp;IF(AND(ABS('Реестр рисков'!$G$22-1)&lt;0.001,ABS('Реестр рисков'!$H$22-0.6)&lt;0.001),'Реестр рисков'!$B$22&amp;" ","")&amp;IF(AND(ABS('Реестр рисков'!$G$23-1)&lt;0.001,ABS('Реестр рисков'!$H$23-0.6)&lt;0.001),'Реестр рисков'!$B$23&amp;" ",""))</f>
        <v/>
      </c>
    </row>
    <row r="10" spans="1:12" ht="30" customHeight="1" x14ac:dyDescent="0.45">
      <c r="A10" s="5"/>
      <c r="B10" s="29">
        <v>0.5</v>
      </c>
      <c r="C10" s="30" t="str">
        <f>TRIM(IF(AND(ABS('Реестр рисков'!$G$5-0.1)&lt;0.001,ABS('Реестр рисков'!$H$5-0.5)&lt;0.001),'Реестр рисков'!$B$5&amp;" ","")&amp;IF(AND(ABS('Реестр рисков'!$G$6-0.1)&lt;0.001,ABS('Реестр рисков'!$H$6-0.5)&lt;0.001),'Реестр рисков'!$B$6&amp;" ","")&amp;IF(AND(ABS('Реестр рисков'!$G$7-0.1)&lt;0.001,ABS('Реестр рисков'!$H$7-0.5)&lt;0.001),'Реестр рисков'!$B$7&amp;" ","")&amp;IF(AND(ABS('Реестр рисков'!$G$8-0.1)&lt;0.001,ABS('Реестр рисков'!$H$8-0.5)&lt;0.001),'Реестр рисков'!$B$8&amp;" ","")&amp;IF(AND(ABS('Реестр рисков'!$G$9-0.1)&lt;0.001,ABS('Реестр рисков'!$H$9-0.5)&lt;0.001),'Реестр рисков'!$B$9&amp;" ","")&amp;IF(AND(ABS('Реестр рисков'!$G$10-0.1)&lt;0.001,ABS('Реестр рисков'!$H$10-0.5)&lt;0.001),'Реестр рисков'!$B$10&amp;" ","")&amp;IF(AND(ABS('Реестр рисков'!$G$11-0.1)&lt;0.001,ABS('Реестр рисков'!$H$11-0.5)&lt;0.001),'Реестр рисков'!$B$11&amp;" ","")&amp;IF(AND(ABS('Реестр рисков'!$G$12-0.1)&lt;0.001,ABS('Реестр рисков'!$H$12-0.5)&lt;0.001),'Реестр рисков'!$B$12&amp;" ","")&amp;IF(AND(ABS('Реестр рисков'!$G$13-0.1)&lt;0.001,ABS('Реестр рисков'!$H$13-0.5)&lt;0.001),'Реестр рисков'!$B$13&amp;" ","")&amp;IF(AND(ABS('Реестр рисков'!$G$14-0.1)&lt;0.001,ABS('Реестр рисков'!$H$14-0.5)&lt;0.001),'Реестр рисков'!$B$14&amp;" ","")&amp;IF(AND(ABS('Реестр рисков'!$G$15-0.1)&lt;0.001,ABS('Реестр рисков'!$H$15-0.5)&lt;0.001),'Реестр рисков'!$B$15&amp;" ","")&amp;IF(AND(ABS('Реестр рисков'!$G$16-0.1)&lt;0.001,ABS('Реестр рисков'!$H$16-0.5)&lt;0.001),'Реестр рисков'!$B$16&amp;" ","")&amp;IF(AND(ABS('Реестр рисков'!$G$17-0.1)&lt;0.001,ABS('Реестр рисков'!$H$17-0.5)&lt;0.001),'Реестр рисков'!$B$17&amp;" ","")&amp;IF(AND(ABS('Реестр рисков'!$G$18-0.1)&lt;0.001,ABS('Реестр рисков'!$H$18-0.5)&lt;0.001),'Реестр рисков'!$B$18&amp;" ","")&amp;IF(AND(ABS('Реестр рисков'!$G$19-0.1)&lt;0.001,ABS('Реестр рисков'!$H$19-0.5)&lt;0.001),'Реестр рисков'!$B$19&amp;" ","")&amp;IF(AND(ABS('Реестр рисков'!$G$20-0.1)&lt;0.001,ABS('Реестр рисков'!$H$20-0.5)&lt;0.001),'Реестр рисков'!$B$20&amp;" ","")&amp;IF(AND(ABS('Реестр рисков'!$G$21-0.1)&lt;0.001,ABS('Реестр рисков'!$H$21-0.5)&lt;0.001),'Реестр рисков'!$B$21&amp;" ","")&amp;IF(AND(ABS('Реестр рисков'!$G$22-0.1)&lt;0.001,ABS('Реестр рисков'!$H$22-0.5)&lt;0.001),'Реестр рисков'!$B$22&amp;" ","")&amp;IF(AND(ABS('Реестр рисков'!$G$23-0.1)&lt;0.001,ABS('Реестр рисков'!$H$23-0.5)&lt;0.001),'Реестр рисков'!$B$23&amp;" ",""))</f>
        <v/>
      </c>
      <c r="D10" s="30" t="str">
        <f>TRIM(IF(AND(ABS('Реестр рисков'!$G$5-0.2)&lt;0.001,ABS('Реестр рисков'!$H$5-0.5)&lt;0.001),'Реестр рисков'!$B$5&amp;" ","")&amp;IF(AND(ABS('Реестр рисков'!$G$6-0.2)&lt;0.001,ABS('Реестр рисков'!$H$6-0.5)&lt;0.001),'Реестр рисков'!$B$6&amp;" ","")&amp;IF(AND(ABS('Реестр рисков'!$G$7-0.2)&lt;0.001,ABS('Реестр рисков'!$H$7-0.5)&lt;0.001),'Реестр рисков'!$B$7&amp;" ","")&amp;IF(AND(ABS('Реестр рисков'!$G$8-0.2)&lt;0.001,ABS('Реестр рисков'!$H$8-0.5)&lt;0.001),'Реестр рисков'!$B$8&amp;" ","")&amp;IF(AND(ABS('Реестр рисков'!$G$9-0.2)&lt;0.001,ABS('Реестр рисков'!$H$9-0.5)&lt;0.001),'Реестр рисков'!$B$9&amp;" ","")&amp;IF(AND(ABS('Реестр рисков'!$G$10-0.2)&lt;0.001,ABS('Реестр рисков'!$H$10-0.5)&lt;0.001),'Реестр рисков'!$B$10&amp;" ","")&amp;IF(AND(ABS('Реестр рисков'!$G$11-0.2)&lt;0.001,ABS('Реестр рисков'!$H$11-0.5)&lt;0.001),'Реестр рисков'!$B$11&amp;" ","")&amp;IF(AND(ABS('Реестр рисков'!$G$12-0.2)&lt;0.001,ABS('Реестр рисков'!$H$12-0.5)&lt;0.001),'Реестр рисков'!$B$12&amp;" ","")&amp;IF(AND(ABS('Реестр рисков'!$G$13-0.2)&lt;0.001,ABS('Реестр рисков'!$H$13-0.5)&lt;0.001),'Реестр рисков'!$B$13&amp;" ","")&amp;IF(AND(ABS('Реестр рисков'!$G$14-0.2)&lt;0.001,ABS('Реестр рисков'!$H$14-0.5)&lt;0.001),'Реестр рисков'!$B$14&amp;" ","")&amp;IF(AND(ABS('Реестр рисков'!$G$15-0.2)&lt;0.001,ABS('Реестр рисков'!$H$15-0.5)&lt;0.001),'Реестр рисков'!$B$15&amp;" ","")&amp;IF(AND(ABS('Реестр рисков'!$G$16-0.2)&lt;0.001,ABS('Реестр рисков'!$H$16-0.5)&lt;0.001),'Реестр рисков'!$B$16&amp;" ","")&amp;IF(AND(ABS('Реестр рисков'!$G$17-0.2)&lt;0.001,ABS('Реестр рисков'!$H$17-0.5)&lt;0.001),'Реестр рисков'!$B$17&amp;" ","")&amp;IF(AND(ABS('Реестр рисков'!$G$18-0.2)&lt;0.001,ABS('Реестр рисков'!$H$18-0.5)&lt;0.001),'Реестр рисков'!$B$18&amp;" ","")&amp;IF(AND(ABS('Реестр рисков'!$G$19-0.2)&lt;0.001,ABS('Реестр рисков'!$H$19-0.5)&lt;0.001),'Реестр рисков'!$B$19&amp;" ","")&amp;IF(AND(ABS('Реестр рисков'!$G$20-0.2)&lt;0.001,ABS('Реестр рисков'!$H$20-0.5)&lt;0.001),'Реестр рисков'!$B$20&amp;" ","")&amp;IF(AND(ABS('Реестр рисков'!$G$21-0.2)&lt;0.001,ABS('Реестр рисков'!$H$21-0.5)&lt;0.001),'Реестр рисков'!$B$21&amp;" ","")&amp;IF(AND(ABS('Реестр рисков'!$G$22-0.2)&lt;0.001,ABS('Реестр рисков'!$H$22-0.5)&lt;0.001),'Реестр рисков'!$B$22&amp;" ","")&amp;IF(AND(ABS('Реестр рисков'!$G$23-0.2)&lt;0.001,ABS('Реестр рисков'!$H$23-0.5)&lt;0.001),'Реестр рисков'!$B$23&amp;" ",""))</f>
        <v/>
      </c>
      <c r="E10" s="31" t="str">
        <f>TRIM(IF(AND(ABS('Реестр рисков'!$G$5-0.3)&lt;0.001,ABS('Реестр рисков'!$H$5-0.5)&lt;0.001),'Реестр рисков'!$B$5&amp;" ","")&amp;IF(AND(ABS('Реестр рисков'!$G$6-0.3)&lt;0.001,ABS('Реестр рисков'!$H$6-0.5)&lt;0.001),'Реестр рисков'!$B$6&amp;" ","")&amp;IF(AND(ABS('Реестр рисков'!$G$7-0.3)&lt;0.001,ABS('Реестр рисков'!$H$7-0.5)&lt;0.001),'Реестр рисков'!$B$7&amp;" ","")&amp;IF(AND(ABS('Реестр рисков'!$G$8-0.3)&lt;0.001,ABS('Реестр рисков'!$H$8-0.5)&lt;0.001),'Реестр рисков'!$B$8&amp;" ","")&amp;IF(AND(ABS('Реестр рисков'!$G$9-0.3)&lt;0.001,ABS('Реестр рисков'!$H$9-0.5)&lt;0.001),'Реестр рисков'!$B$9&amp;" ","")&amp;IF(AND(ABS('Реестр рисков'!$G$10-0.3)&lt;0.001,ABS('Реестр рисков'!$H$10-0.5)&lt;0.001),'Реестр рисков'!$B$10&amp;" ","")&amp;IF(AND(ABS('Реестр рисков'!$G$11-0.3)&lt;0.001,ABS('Реестр рисков'!$H$11-0.5)&lt;0.001),'Реестр рисков'!$B$11&amp;" ","")&amp;IF(AND(ABS('Реестр рисков'!$G$12-0.3)&lt;0.001,ABS('Реестр рисков'!$H$12-0.5)&lt;0.001),'Реестр рисков'!$B$12&amp;" ","")&amp;IF(AND(ABS('Реестр рисков'!$G$13-0.3)&lt;0.001,ABS('Реестр рисков'!$H$13-0.5)&lt;0.001),'Реестр рисков'!$B$13&amp;" ","")&amp;IF(AND(ABS('Реестр рисков'!$G$14-0.3)&lt;0.001,ABS('Реестр рисков'!$H$14-0.5)&lt;0.001),'Реестр рисков'!$B$14&amp;" ","")&amp;IF(AND(ABS('Реестр рисков'!$G$15-0.3)&lt;0.001,ABS('Реестр рисков'!$H$15-0.5)&lt;0.001),'Реестр рисков'!$B$15&amp;" ","")&amp;IF(AND(ABS('Реестр рисков'!$G$16-0.3)&lt;0.001,ABS('Реестр рисков'!$H$16-0.5)&lt;0.001),'Реестр рисков'!$B$16&amp;" ","")&amp;IF(AND(ABS('Реестр рисков'!$G$17-0.3)&lt;0.001,ABS('Реестр рисков'!$H$17-0.5)&lt;0.001),'Реестр рисков'!$B$17&amp;" ","")&amp;IF(AND(ABS('Реестр рисков'!$G$18-0.3)&lt;0.001,ABS('Реестр рисков'!$H$18-0.5)&lt;0.001),'Реестр рисков'!$B$18&amp;" ","")&amp;IF(AND(ABS('Реестр рисков'!$G$19-0.3)&lt;0.001,ABS('Реестр рисков'!$H$19-0.5)&lt;0.001),'Реестр рисков'!$B$19&amp;" ","")&amp;IF(AND(ABS('Реестр рисков'!$G$20-0.3)&lt;0.001,ABS('Реестр рисков'!$H$20-0.5)&lt;0.001),'Реестр рисков'!$B$20&amp;" ","")&amp;IF(AND(ABS('Реестр рисков'!$G$21-0.3)&lt;0.001,ABS('Реестр рисков'!$H$21-0.5)&lt;0.001),'Реестр рисков'!$B$21&amp;" ","")&amp;IF(AND(ABS('Реестр рисков'!$G$22-0.3)&lt;0.001,ABS('Реестр рисков'!$H$22-0.5)&lt;0.001),'Реестр рисков'!$B$22&amp;" ","")&amp;IF(AND(ABS('Реестр рисков'!$G$23-0.3)&lt;0.001,ABS('Реестр рисков'!$H$23-0.5)&lt;0.001),'Реестр рисков'!$B$23&amp;" ",""))</f>
        <v/>
      </c>
      <c r="F10" s="31" t="str">
        <f>TRIM(IF(AND(ABS('Реестр рисков'!$G$5-0.4)&lt;0.001,ABS('Реестр рисков'!$H$5-0.5)&lt;0.001),'Реестр рисков'!$B$5&amp;" ","")&amp;IF(AND(ABS('Реестр рисков'!$G$6-0.4)&lt;0.001,ABS('Реестр рисков'!$H$6-0.5)&lt;0.001),'Реестр рисков'!$B$6&amp;" ","")&amp;IF(AND(ABS('Реестр рисков'!$G$7-0.4)&lt;0.001,ABS('Реестр рисков'!$H$7-0.5)&lt;0.001),'Реестр рисков'!$B$7&amp;" ","")&amp;IF(AND(ABS('Реестр рисков'!$G$8-0.4)&lt;0.001,ABS('Реестр рисков'!$H$8-0.5)&lt;0.001),'Реестр рисков'!$B$8&amp;" ","")&amp;IF(AND(ABS('Реестр рисков'!$G$9-0.4)&lt;0.001,ABS('Реестр рисков'!$H$9-0.5)&lt;0.001),'Реестр рисков'!$B$9&amp;" ","")&amp;IF(AND(ABS('Реестр рисков'!$G$10-0.4)&lt;0.001,ABS('Реестр рисков'!$H$10-0.5)&lt;0.001),'Реестр рисков'!$B$10&amp;" ","")&amp;IF(AND(ABS('Реестр рисков'!$G$11-0.4)&lt;0.001,ABS('Реестр рисков'!$H$11-0.5)&lt;0.001),'Реестр рисков'!$B$11&amp;" ","")&amp;IF(AND(ABS('Реестр рисков'!$G$12-0.4)&lt;0.001,ABS('Реестр рисков'!$H$12-0.5)&lt;0.001),'Реестр рисков'!$B$12&amp;" ","")&amp;IF(AND(ABS('Реестр рисков'!$G$13-0.4)&lt;0.001,ABS('Реестр рисков'!$H$13-0.5)&lt;0.001),'Реестр рисков'!$B$13&amp;" ","")&amp;IF(AND(ABS('Реестр рисков'!$G$14-0.4)&lt;0.001,ABS('Реестр рисков'!$H$14-0.5)&lt;0.001),'Реестр рисков'!$B$14&amp;" ","")&amp;IF(AND(ABS('Реестр рисков'!$G$15-0.4)&lt;0.001,ABS('Реестр рисков'!$H$15-0.5)&lt;0.001),'Реестр рисков'!$B$15&amp;" ","")&amp;IF(AND(ABS('Реестр рисков'!$G$16-0.4)&lt;0.001,ABS('Реестр рисков'!$H$16-0.5)&lt;0.001),'Реестр рисков'!$B$16&amp;" ","")&amp;IF(AND(ABS('Реестр рисков'!$G$17-0.4)&lt;0.001,ABS('Реестр рисков'!$H$17-0.5)&lt;0.001),'Реестр рисков'!$B$17&amp;" ","")&amp;IF(AND(ABS('Реестр рисков'!$G$18-0.4)&lt;0.001,ABS('Реестр рисков'!$H$18-0.5)&lt;0.001),'Реестр рисков'!$B$18&amp;" ","")&amp;IF(AND(ABS('Реестр рисков'!$G$19-0.4)&lt;0.001,ABS('Реестр рисков'!$H$19-0.5)&lt;0.001),'Реестр рисков'!$B$19&amp;" ","")&amp;IF(AND(ABS('Реестр рисков'!$G$20-0.4)&lt;0.001,ABS('Реестр рисков'!$H$20-0.5)&lt;0.001),'Реестр рисков'!$B$20&amp;" ","")&amp;IF(AND(ABS('Реестр рисков'!$G$21-0.4)&lt;0.001,ABS('Реестр рисков'!$H$21-0.5)&lt;0.001),'Реестр рисков'!$B$21&amp;" ","")&amp;IF(AND(ABS('Реестр рисков'!$G$22-0.4)&lt;0.001,ABS('Реестр рисков'!$H$22-0.5)&lt;0.001),'Реестр рисков'!$B$22&amp;" ","")&amp;IF(AND(ABS('Реестр рисков'!$G$23-0.4)&lt;0.001,ABS('Реестр рисков'!$H$23-0.5)&lt;0.001),'Реестр рисков'!$B$23&amp;" ",""))</f>
        <v>R18</v>
      </c>
      <c r="G10" s="31" t="str">
        <f>TRIM(IF(AND(ABS('Реестр рисков'!$G$5-0.5)&lt;0.001,ABS('Реестр рисков'!$H$5-0.5)&lt;0.001),'Реестр рисков'!$B$5&amp;" ","")&amp;IF(AND(ABS('Реестр рисков'!$G$6-0.5)&lt;0.001,ABS('Реестр рисков'!$H$6-0.5)&lt;0.001),'Реестр рисков'!$B$6&amp;" ","")&amp;IF(AND(ABS('Реестр рисков'!$G$7-0.5)&lt;0.001,ABS('Реестр рисков'!$H$7-0.5)&lt;0.001),'Реестр рисков'!$B$7&amp;" ","")&amp;IF(AND(ABS('Реестр рисков'!$G$8-0.5)&lt;0.001,ABS('Реестр рисков'!$H$8-0.5)&lt;0.001),'Реестр рисков'!$B$8&amp;" ","")&amp;IF(AND(ABS('Реестр рисков'!$G$9-0.5)&lt;0.001,ABS('Реестр рисков'!$H$9-0.5)&lt;0.001),'Реестр рисков'!$B$9&amp;" ","")&amp;IF(AND(ABS('Реестр рисков'!$G$10-0.5)&lt;0.001,ABS('Реестр рисков'!$H$10-0.5)&lt;0.001),'Реестр рисков'!$B$10&amp;" ","")&amp;IF(AND(ABS('Реестр рисков'!$G$11-0.5)&lt;0.001,ABS('Реестр рисков'!$H$11-0.5)&lt;0.001),'Реестр рисков'!$B$11&amp;" ","")&amp;IF(AND(ABS('Реестр рисков'!$G$12-0.5)&lt;0.001,ABS('Реестр рисков'!$H$12-0.5)&lt;0.001),'Реестр рисков'!$B$12&amp;" ","")&amp;IF(AND(ABS('Реестр рисков'!$G$13-0.5)&lt;0.001,ABS('Реестр рисков'!$H$13-0.5)&lt;0.001),'Реестр рисков'!$B$13&amp;" ","")&amp;IF(AND(ABS('Реестр рисков'!$G$14-0.5)&lt;0.001,ABS('Реестр рисков'!$H$14-0.5)&lt;0.001),'Реестр рисков'!$B$14&amp;" ","")&amp;IF(AND(ABS('Реестр рисков'!$G$15-0.5)&lt;0.001,ABS('Реестр рисков'!$H$15-0.5)&lt;0.001),'Реестр рисков'!$B$15&amp;" ","")&amp;IF(AND(ABS('Реестр рисков'!$G$16-0.5)&lt;0.001,ABS('Реестр рисков'!$H$16-0.5)&lt;0.001),'Реестр рисков'!$B$16&amp;" ","")&amp;IF(AND(ABS('Реестр рисков'!$G$17-0.5)&lt;0.001,ABS('Реестр рисков'!$H$17-0.5)&lt;0.001),'Реестр рисков'!$B$17&amp;" ","")&amp;IF(AND(ABS('Реестр рисков'!$G$18-0.5)&lt;0.001,ABS('Реестр рисков'!$H$18-0.5)&lt;0.001),'Реестр рисков'!$B$18&amp;" ","")&amp;IF(AND(ABS('Реестр рисков'!$G$19-0.5)&lt;0.001,ABS('Реестр рисков'!$H$19-0.5)&lt;0.001),'Реестр рисков'!$B$19&amp;" ","")&amp;IF(AND(ABS('Реестр рисков'!$G$20-0.5)&lt;0.001,ABS('Реестр рисков'!$H$20-0.5)&lt;0.001),'Реестр рисков'!$B$20&amp;" ","")&amp;IF(AND(ABS('Реестр рисков'!$G$21-0.5)&lt;0.001,ABS('Реестр рисков'!$H$21-0.5)&lt;0.001),'Реестр рисков'!$B$21&amp;" ","")&amp;IF(AND(ABS('Реестр рисков'!$G$22-0.5)&lt;0.001,ABS('Реестр рисков'!$H$22-0.5)&lt;0.001),'Реестр рисков'!$B$22&amp;" ","")&amp;IF(AND(ABS('Реестр рисков'!$G$23-0.5)&lt;0.001,ABS('Реестр рисков'!$H$23-0.5)&lt;0.001),'Реестр рисков'!$B$23&amp;" ",""))</f>
        <v>R14</v>
      </c>
      <c r="H10" s="31" t="str">
        <f>TRIM(IF(AND(ABS('Реестр рисков'!$G$5-0.6)&lt;0.001,ABS('Реестр рисков'!$H$5-0.5)&lt;0.001),'Реестр рисков'!$B$5&amp;" ","")&amp;IF(AND(ABS('Реестр рисков'!$G$6-0.6)&lt;0.001,ABS('Реестр рисков'!$H$6-0.5)&lt;0.001),'Реестр рисков'!$B$6&amp;" ","")&amp;IF(AND(ABS('Реестр рисков'!$G$7-0.6)&lt;0.001,ABS('Реестр рисков'!$H$7-0.5)&lt;0.001),'Реестр рисков'!$B$7&amp;" ","")&amp;IF(AND(ABS('Реестр рисков'!$G$8-0.6)&lt;0.001,ABS('Реестр рисков'!$H$8-0.5)&lt;0.001),'Реестр рисков'!$B$8&amp;" ","")&amp;IF(AND(ABS('Реестр рисков'!$G$9-0.6)&lt;0.001,ABS('Реестр рисков'!$H$9-0.5)&lt;0.001),'Реестр рисков'!$B$9&amp;" ","")&amp;IF(AND(ABS('Реестр рисков'!$G$10-0.6)&lt;0.001,ABS('Реестр рисков'!$H$10-0.5)&lt;0.001),'Реестр рисков'!$B$10&amp;" ","")&amp;IF(AND(ABS('Реестр рисков'!$G$11-0.6)&lt;0.001,ABS('Реестр рисков'!$H$11-0.5)&lt;0.001),'Реестр рисков'!$B$11&amp;" ","")&amp;IF(AND(ABS('Реестр рисков'!$G$12-0.6)&lt;0.001,ABS('Реестр рисков'!$H$12-0.5)&lt;0.001),'Реестр рисков'!$B$12&amp;" ","")&amp;IF(AND(ABS('Реестр рисков'!$G$13-0.6)&lt;0.001,ABS('Реестр рисков'!$H$13-0.5)&lt;0.001),'Реестр рисков'!$B$13&amp;" ","")&amp;IF(AND(ABS('Реестр рисков'!$G$14-0.6)&lt;0.001,ABS('Реестр рисков'!$H$14-0.5)&lt;0.001),'Реестр рисков'!$B$14&amp;" ","")&amp;IF(AND(ABS('Реестр рисков'!$G$15-0.6)&lt;0.001,ABS('Реестр рисков'!$H$15-0.5)&lt;0.001),'Реестр рисков'!$B$15&amp;" ","")&amp;IF(AND(ABS('Реестр рисков'!$G$16-0.6)&lt;0.001,ABS('Реестр рисков'!$H$16-0.5)&lt;0.001),'Реестр рисков'!$B$16&amp;" ","")&amp;IF(AND(ABS('Реестр рисков'!$G$17-0.6)&lt;0.001,ABS('Реестр рисков'!$H$17-0.5)&lt;0.001),'Реестр рисков'!$B$17&amp;" ","")&amp;IF(AND(ABS('Реестр рисков'!$G$18-0.6)&lt;0.001,ABS('Реестр рисков'!$H$18-0.5)&lt;0.001),'Реестр рисков'!$B$18&amp;" ","")&amp;IF(AND(ABS('Реестр рисков'!$G$19-0.6)&lt;0.001,ABS('Реестр рисков'!$H$19-0.5)&lt;0.001),'Реестр рисков'!$B$19&amp;" ","")&amp;IF(AND(ABS('Реестр рисков'!$G$20-0.6)&lt;0.001,ABS('Реестр рисков'!$H$20-0.5)&lt;0.001),'Реестр рисков'!$B$20&amp;" ","")&amp;IF(AND(ABS('Реестр рисков'!$G$21-0.6)&lt;0.001,ABS('Реестр рисков'!$H$21-0.5)&lt;0.001),'Реестр рисков'!$B$21&amp;" ","")&amp;IF(AND(ABS('Реестр рисков'!$G$22-0.6)&lt;0.001,ABS('Реестр рисков'!$H$22-0.5)&lt;0.001),'Реестр рисков'!$B$22&amp;" ","")&amp;IF(AND(ABS('Реестр рисков'!$G$23-0.6)&lt;0.001,ABS('Реестр рисков'!$H$23-0.5)&lt;0.001),'Реестр рисков'!$B$23&amp;" ",""))</f>
        <v/>
      </c>
      <c r="I10" s="31" t="str">
        <f>TRIM(IF(AND(ABS('Реестр рисков'!$G$5-0.7)&lt;0.001,ABS('Реестр рисков'!$H$5-0.5)&lt;0.001),'Реестр рисков'!$B$5&amp;" ","")&amp;IF(AND(ABS('Реестр рисков'!$G$6-0.7)&lt;0.001,ABS('Реестр рисков'!$H$6-0.5)&lt;0.001),'Реестр рисков'!$B$6&amp;" ","")&amp;IF(AND(ABS('Реестр рисков'!$G$7-0.7)&lt;0.001,ABS('Реестр рисков'!$H$7-0.5)&lt;0.001),'Реестр рисков'!$B$7&amp;" ","")&amp;IF(AND(ABS('Реестр рисков'!$G$8-0.7)&lt;0.001,ABS('Реестр рисков'!$H$8-0.5)&lt;0.001),'Реестр рисков'!$B$8&amp;" ","")&amp;IF(AND(ABS('Реестр рисков'!$G$9-0.7)&lt;0.001,ABS('Реестр рисков'!$H$9-0.5)&lt;0.001),'Реестр рисков'!$B$9&amp;" ","")&amp;IF(AND(ABS('Реестр рисков'!$G$10-0.7)&lt;0.001,ABS('Реестр рисков'!$H$10-0.5)&lt;0.001),'Реестр рисков'!$B$10&amp;" ","")&amp;IF(AND(ABS('Реестр рисков'!$G$11-0.7)&lt;0.001,ABS('Реестр рисков'!$H$11-0.5)&lt;0.001),'Реестр рисков'!$B$11&amp;" ","")&amp;IF(AND(ABS('Реестр рисков'!$G$12-0.7)&lt;0.001,ABS('Реестр рисков'!$H$12-0.5)&lt;0.001),'Реестр рисков'!$B$12&amp;" ","")&amp;IF(AND(ABS('Реестр рисков'!$G$13-0.7)&lt;0.001,ABS('Реестр рисков'!$H$13-0.5)&lt;0.001),'Реестр рисков'!$B$13&amp;" ","")&amp;IF(AND(ABS('Реестр рисков'!$G$14-0.7)&lt;0.001,ABS('Реестр рисков'!$H$14-0.5)&lt;0.001),'Реестр рисков'!$B$14&amp;" ","")&amp;IF(AND(ABS('Реестр рисков'!$G$15-0.7)&lt;0.001,ABS('Реестр рисков'!$H$15-0.5)&lt;0.001),'Реестр рисков'!$B$15&amp;" ","")&amp;IF(AND(ABS('Реестр рисков'!$G$16-0.7)&lt;0.001,ABS('Реестр рисков'!$H$16-0.5)&lt;0.001),'Реестр рисков'!$B$16&amp;" ","")&amp;IF(AND(ABS('Реестр рисков'!$G$17-0.7)&lt;0.001,ABS('Реестр рисков'!$H$17-0.5)&lt;0.001),'Реестр рисков'!$B$17&amp;" ","")&amp;IF(AND(ABS('Реестр рисков'!$G$18-0.7)&lt;0.001,ABS('Реестр рисков'!$H$18-0.5)&lt;0.001),'Реестр рисков'!$B$18&amp;" ","")&amp;IF(AND(ABS('Реестр рисков'!$G$19-0.7)&lt;0.001,ABS('Реестр рисков'!$H$19-0.5)&lt;0.001),'Реестр рисков'!$B$19&amp;" ","")&amp;IF(AND(ABS('Реестр рисков'!$G$20-0.7)&lt;0.001,ABS('Реестр рисков'!$H$20-0.5)&lt;0.001),'Реестр рисков'!$B$20&amp;" ","")&amp;IF(AND(ABS('Реестр рисков'!$G$21-0.7)&lt;0.001,ABS('Реестр рисков'!$H$21-0.5)&lt;0.001),'Реестр рисков'!$B$21&amp;" ","")&amp;IF(AND(ABS('Реестр рисков'!$G$22-0.7)&lt;0.001,ABS('Реестр рисков'!$H$22-0.5)&lt;0.001),'Реестр рисков'!$B$22&amp;" ","")&amp;IF(AND(ABS('Реестр рисков'!$G$23-0.7)&lt;0.001,ABS('Реестр рисков'!$H$23-0.5)&lt;0.001),'Реестр рисков'!$B$23&amp;" ",""))</f>
        <v/>
      </c>
      <c r="J10" s="31" t="str">
        <f>TRIM(IF(AND(ABS('Реестр рисков'!$G$5-0.8)&lt;0.001,ABS('Реестр рисков'!$H$5-0.5)&lt;0.001),'Реестр рисков'!$B$5&amp;" ","")&amp;IF(AND(ABS('Реестр рисков'!$G$6-0.8)&lt;0.001,ABS('Реестр рисков'!$H$6-0.5)&lt;0.001),'Реестр рисков'!$B$6&amp;" ","")&amp;IF(AND(ABS('Реестр рисков'!$G$7-0.8)&lt;0.001,ABS('Реестр рисков'!$H$7-0.5)&lt;0.001),'Реестр рисков'!$B$7&amp;" ","")&amp;IF(AND(ABS('Реестр рисков'!$G$8-0.8)&lt;0.001,ABS('Реестр рисков'!$H$8-0.5)&lt;0.001),'Реестр рисков'!$B$8&amp;" ","")&amp;IF(AND(ABS('Реестр рисков'!$G$9-0.8)&lt;0.001,ABS('Реестр рисков'!$H$9-0.5)&lt;0.001),'Реестр рисков'!$B$9&amp;" ","")&amp;IF(AND(ABS('Реестр рисков'!$G$10-0.8)&lt;0.001,ABS('Реестр рисков'!$H$10-0.5)&lt;0.001),'Реестр рисков'!$B$10&amp;" ","")&amp;IF(AND(ABS('Реестр рисков'!$G$11-0.8)&lt;0.001,ABS('Реестр рисков'!$H$11-0.5)&lt;0.001),'Реестр рисков'!$B$11&amp;" ","")&amp;IF(AND(ABS('Реестр рисков'!$G$12-0.8)&lt;0.001,ABS('Реестр рисков'!$H$12-0.5)&lt;0.001),'Реестр рисков'!$B$12&amp;" ","")&amp;IF(AND(ABS('Реестр рисков'!$G$13-0.8)&lt;0.001,ABS('Реестр рисков'!$H$13-0.5)&lt;0.001),'Реестр рисков'!$B$13&amp;" ","")&amp;IF(AND(ABS('Реестр рисков'!$G$14-0.8)&lt;0.001,ABS('Реестр рисков'!$H$14-0.5)&lt;0.001),'Реестр рисков'!$B$14&amp;" ","")&amp;IF(AND(ABS('Реестр рисков'!$G$15-0.8)&lt;0.001,ABS('Реестр рисков'!$H$15-0.5)&lt;0.001),'Реестр рисков'!$B$15&amp;" ","")&amp;IF(AND(ABS('Реестр рисков'!$G$16-0.8)&lt;0.001,ABS('Реестр рисков'!$H$16-0.5)&lt;0.001),'Реестр рисков'!$B$16&amp;" ","")&amp;IF(AND(ABS('Реестр рисков'!$G$17-0.8)&lt;0.001,ABS('Реестр рисков'!$H$17-0.5)&lt;0.001),'Реестр рисков'!$B$17&amp;" ","")&amp;IF(AND(ABS('Реестр рисков'!$G$18-0.8)&lt;0.001,ABS('Реестр рисков'!$H$18-0.5)&lt;0.001),'Реестр рисков'!$B$18&amp;" ","")&amp;IF(AND(ABS('Реестр рисков'!$G$19-0.8)&lt;0.001,ABS('Реестр рисков'!$H$19-0.5)&lt;0.001),'Реестр рисков'!$B$19&amp;" ","")&amp;IF(AND(ABS('Реестр рисков'!$G$20-0.8)&lt;0.001,ABS('Реестр рисков'!$H$20-0.5)&lt;0.001),'Реестр рисков'!$B$20&amp;" ","")&amp;IF(AND(ABS('Реестр рисков'!$G$21-0.8)&lt;0.001,ABS('Реестр рисков'!$H$21-0.5)&lt;0.001),'Реестр рисков'!$B$21&amp;" ","")&amp;IF(AND(ABS('Реестр рисков'!$G$22-0.8)&lt;0.001,ABS('Реестр рисков'!$H$22-0.5)&lt;0.001),'Реестр рисков'!$B$22&amp;" ","")&amp;IF(AND(ABS('Реестр рисков'!$G$23-0.8)&lt;0.001,ABS('Реестр рисков'!$H$23-0.5)&lt;0.001),'Реестр рисков'!$B$23&amp;" ",""))</f>
        <v/>
      </c>
      <c r="K10" s="31" t="str">
        <f>TRIM(IF(AND(ABS('Реестр рисков'!$G$5-0.9)&lt;0.001,ABS('Реестр рисков'!$H$5-0.5)&lt;0.001),'Реестр рисков'!$B$5&amp;" ","")&amp;IF(AND(ABS('Реестр рисков'!$G$6-0.9)&lt;0.001,ABS('Реестр рисков'!$H$6-0.5)&lt;0.001),'Реестр рисков'!$B$6&amp;" ","")&amp;IF(AND(ABS('Реестр рисков'!$G$7-0.9)&lt;0.001,ABS('Реестр рисков'!$H$7-0.5)&lt;0.001),'Реестр рисков'!$B$7&amp;" ","")&amp;IF(AND(ABS('Реестр рисков'!$G$8-0.9)&lt;0.001,ABS('Реестр рисков'!$H$8-0.5)&lt;0.001),'Реестр рисков'!$B$8&amp;" ","")&amp;IF(AND(ABS('Реестр рисков'!$G$9-0.9)&lt;0.001,ABS('Реестр рисков'!$H$9-0.5)&lt;0.001),'Реестр рисков'!$B$9&amp;" ","")&amp;IF(AND(ABS('Реестр рисков'!$G$10-0.9)&lt;0.001,ABS('Реестр рисков'!$H$10-0.5)&lt;0.001),'Реестр рисков'!$B$10&amp;" ","")&amp;IF(AND(ABS('Реестр рисков'!$G$11-0.9)&lt;0.001,ABS('Реестр рисков'!$H$11-0.5)&lt;0.001),'Реестр рисков'!$B$11&amp;" ","")&amp;IF(AND(ABS('Реестр рисков'!$G$12-0.9)&lt;0.001,ABS('Реестр рисков'!$H$12-0.5)&lt;0.001),'Реестр рисков'!$B$12&amp;" ","")&amp;IF(AND(ABS('Реестр рисков'!$G$13-0.9)&lt;0.001,ABS('Реестр рисков'!$H$13-0.5)&lt;0.001),'Реестр рисков'!$B$13&amp;" ","")&amp;IF(AND(ABS('Реестр рисков'!$G$14-0.9)&lt;0.001,ABS('Реестр рисков'!$H$14-0.5)&lt;0.001),'Реестр рисков'!$B$14&amp;" ","")&amp;IF(AND(ABS('Реестр рисков'!$G$15-0.9)&lt;0.001,ABS('Реестр рисков'!$H$15-0.5)&lt;0.001),'Реестр рисков'!$B$15&amp;" ","")&amp;IF(AND(ABS('Реестр рисков'!$G$16-0.9)&lt;0.001,ABS('Реестр рисков'!$H$16-0.5)&lt;0.001),'Реестр рисков'!$B$16&amp;" ","")&amp;IF(AND(ABS('Реестр рисков'!$G$17-0.9)&lt;0.001,ABS('Реестр рисков'!$H$17-0.5)&lt;0.001),'Реестр рисков'!$B$17&amp;" ","")&amp;IF(AND(ABS('Реестр рисков'!$G$18-0.9)&lt;0.001,ABS('Реестр рисков'!$H$18-0.5)&lt;0.001),'Реестр рисков'!$B$18&amp;" ","")&amp;IF(AND(ABS('Реестр рисков'!$G$19-0.9)&lt;0.001,ABS('Реестр рисков'!$H$19-0.5)&lt;0.001),'Реестр рисков'!$B$19&amp;" ","")&amp;IF(AND(ABS('Реестр рисков'!$G$20-0.9)&lt;0.001,ABS('Реестр рисков'!$H$20-0.5)&lt;0.001),'Реестр рисков'!$B$20&amp;" ","")&amp;IF(AND(ABS('Реестр рисков'!$G$21-0.9)&lt;0.001,ABS('Реестр рисков'!$H$21-0.5)&lt;0.001),'Реестр рисков'!$B$21&amp;" ","")&amp;IF(AND(ABS('Реестр рисков'!$G$22-0.9)&lt;0.001,ABS('Реестр рисков'!$H$22-0.5)&lt;0.001),'Реестр рисков'!$B$22&amp;" ","")&amp;IF(AND(ABS('Реестр рисков'!$G$23-0.9)&lt;0.001,ABS('Реестр рисков'!$H$23-0.5)&lt;0.001),'Реестр рисков'!$B$23&amp;" ",""))</f>
        <v/>
      </c>
      <c r="L10" s="31" t="str">
        <f>TRIM(IF(AND(ABS('Реестр рисков'!$G$5-1)&lt;0.001,ABS('Реестр рисков'!$H$5-0.5)&lt;0.001),'Реестр рисков'!$B$5&amp;" ","")&amp;IF(AND(ABS('Реестр рисков'!$G$6-1)&lt;0.001,ABS('Реестр рисков'!$H$6-0.5)&lt;0.001),'Реестр рисков'!$B$6&amp;" ","")&amp;IF(AND(ABS('Реестр рисков'!$G$7-1)&lt;0.001,ABS('Реестр рисков'!$H$7-0.5)&lt;0.001),'Реестр рисков'!$B$7&amp;" ","")&amp;IF(AND(ABS('Реестр рисков'!$G$8-1)&lt;0.001,ABS('Реестр рисков'!$H$8-0.5)&lt;0.001),'Реестр рисков'!$B$8&amp;" ","")&amp;IF(AND(ABS('Реестр рисков'!$G$9-1)&lt;0.001,ABS('Реестр рисков'!$H$9-0.5)&lt;0.001),'Реестр рисков'!$B$9&amp;" ","")&amp;IF(AND(ABS('Реестр рисков'!$G$10-1)&lt;0.001,ABS('Реестр рисков'!$H$10-0.5)&lt;0.001),'Реестр рисков'!$B$10&amp;" ","")&amp;IF(AND(ABS('Реестр рисков'!$G$11-1)&lt;0.001,ABS('Реестр рисков'!$H$11-0.5)&lt;0.001),'Реестр рисков'!$B$11&amp;" ","")&amp;IF(AND(ABS('Реестр рисков'!$G$12-1)&lt;0.001,ABS('Реестр рисков'!$H$12-0.5)&lt;0.001),'Реестр рисков'!$B$12&amp;" ","")&amp;IF(AND(ABS('Реестр рисков'!$G$13-1)&lt;0.001,ABS('Реестр рисков'!$H$13-0.5)&lt;0.001),'Реестр рисков'!$B$13&amp;" ","")&amp;IF(AND(ABS('Реестр рисков'!$G$14-1)&lt;0.001,ABS('Реестр рисков'!$H$14-0.5)&lt;0.001),'Реестр рисков'!$B$14&amp;" ","")&amp;IF(AND(ABS('Реестр рисков'!$G$15-1)&lt;0.001,ABS('Реестр рисков'!$H$15-0.5)&lt;0.001),'Реестр рисков'!$B$15&amp;" ","")&amp;IF(AND(ABS('Реестр рисков'!$G$16-1)&lt;0.001,ABS('Реестр рисков'!$H$16-0.5)&lt;0.001),'Реестр рисков'!$B$16&amp;" ","")&amp;IF(AND(ABS('Реестр рисков'!$G$17-1)&lt;0.001,ABS('Реестр рисков'!$H$17-0.5)&lt;0.001),'Реестр рисков'!$B$17&amp;" ","")&amp;IF(AND(ABS('Реестр рисков'!$G$18-1)&lt;0.001,ABS('Реестр рисков'!$H$18-0.5)&lt;0.001),'Реестр рисков'!$B$18&amp;" ","")&amp;IF(AND(ABS('Реестр рисков'!$G$19-1)&lt;0.001,ABS('Реестр рисков'!$H$19-0.5)&lt;0.001),'Реестр рисков'!$B$19&amp;" ","")&amp;IF(AND(ABS('Реестр рисков'!$G$20-1)&lt;0.001,ABS('Реестр рисков'!$H$20-0.5)&lt;0.001),'Реестр рисков'!$B$20&amp;" ","")&amp;IF(AND(ABS('Реестр рисков'!$G$21-1)&lt;0.001,ABS('Реестр рисков'!$H$21-0.5)&lt;0.001),'Реестр рисков'!$B$21&amp;" ","")&amp;IF(AND(ABS('Реестр рисков'!$G$22-1)&lt;0.001,ABS('Реестр рисков'!$H$22-0.5)&lt;0.001),'Реестр рисков'!$B$22&amp;" ","")&amp;IF(AND(ABS('Реестр рисков'!$G$23-1)&lt;0.001,ABS('Реестр рисков'!$H$23-0.5)&lt;0.001),'Реестр рисков'!$B$23&amp;" ",""))</f>
        <v/>
      </c>
    </row>
    <row r="11" spans="1:12" ht="30" customHeight="1" x14ac:dyDescent="0.45">
      <c r="A11" s="5"/>
      <c r="B11" s="29">
        <v>0.4</v>
      </c>
      <c r="C11" s="30" t="str">
        <f>TRIM(IF(AND(ABS('Реестр рисков'!$G$5-0.1)&lt;0.001,ABS('Реестр рисков'!$H$5-0.4)&lt;0.001),'Реестр рисков'!$B$5&amp;" ","")&amp;IF(AND(ABS('Реестр рисков'!$G$6-0.1)&lt;0.001,ABS('Реестр рисков'!$H$6-0.4)&lt;0.001),'Реестр рисков'!$B$6&amp;" ","")&amp;IF(AND(ABS('Реестр рисков'!$G$7-0.1)&lt;0.001,ABS('Реестр рисков'!$H$7-0.4)&lt;0.001),'Реестр рисков'!$B$7&amp;" ","")&amp;IF(AND(ABS('Реестр рисков'!$G$8-0.1)&lt;0.001,ABS('Реестр рисков'!$H$8-0.4)&lt;0.001),'Реестр рисков'!$B$8&amp;" ","")&amp;IF(AND(ABS('Реестр рисков'!$G$9-0.1)&lt;0.001,ABS('Реестр рисков'!$H$9-0.4)&lt;0.001),'Реестр рисков'!$B$9&amp;" ","")&amp;IF(AND(ABS('Реестр рисков'!$G$10-0.1)&lt;0.001,ABS('Реестр рисков'!$H$10-0.4)&lt;0.001),'Реестр рисков'!$B$10&amp;" ","")&amp;IF(AND(ABS('Реестр рисков'!$G$11-0.1)&lt;0.001,ABS('Реестр рисков'!$H$11-0.4)&lt;0.001),'Реестр рисков'!$B$11&amp;" ","")&amp;IF(AND(ABS('Реестр рисков'!$G$12-0.1)&lt;0.001,ABS('Реестр рисков'!$H$12-0.4)&lt;0.001),'Реестр рисков'!$B$12&amp;" ","")&amp;IF(AND(ABS('Реестр рисков'!$G$13-0.1)&lt;0.001,ABS('Реестр рисков'!$H$13-0.4)&lt;0.001),'Реестр рисков'!$B$13&amp;" ","")&amp;IF(AND(ABS('Реестр рисков'!$G$14-0.1)&lt;0.001,ABS('Реестр рисков'!$H$14-0.4)&lt;0.001),'Реестр рисков'!$B$14&amp;" ","")&amp;IF(AND(ABS('Реестр рисков'!$G$15-0.1)&lt;0.001,ABS('Реестр рисков'!$H$15-0.4)&lt;0.001),'Реестр рисков'!$B$15&amp;" ","")&amp;IF(AND(ABS('Реестр рисков'!$G$16-0.1)&lt;0.001,ABS('Реестр рисков'!$H$16-0.4)&lt;0.001),'Реестр рисков'!$B$16&amp;" ","")&amp;IF(AND(ABS('Реестр рисков'!$G$17-0.1)&lt;0.001,ABS('Реестр рисков'!$H$17-0.4)&lt;0.001),'Реестр рисков'!$B$17&amp;" ","")&amp;IF(AND(ABS('Реестр рисков'!$G$18-0.1)&lt;0.001,ABS('Реестр рисков'!$H$18-0.4)&lt;0.001),'Реестр рисков'!$B$18&amp;" ","")&amp;IF(AND(ABS('Реестр рисков'!$G$19-0.1)&lt;0.001,ABS('Реестр рисков'!$H$19-0.4)&lt;0.001),'Реестр рисков'!$B$19&amp;" ","")&amp;IF(AND(ABS('Реестр рисков'!$G$20-0.1)&lt;0.001,ABS('Реестр рисков'!$H$20-0.4)&lt;0.001),'Реестр рисков'!$B$20&amp;" ","")&amp;IF(AND(ABS('Реестр рисков'!$G$21-0.1)&lt;0.001,ABS('Реестр рисков'!$H$21-0.4)&lt;0.001),'Реестр рисков'!$B$21&amp;" ","")&amp;IF(AND(ABS('Реестр рисков'!$G$22-0.1)&lt;0.001,ABS('Реестр рисков'!$H$22-0.4)&lt;0.001),'Реестр рисков'!$B$22&amp;" ","")&amp;IF(AND(ABS('Реестр рисков'!$G$23-0.1)&lt;0.001,ABS('Реестр рисков'!$H$23-0.4)&lt;0.001),'Реестр рисков'!$B$23&amp;" ",""))</f>
        <v/>
      </c>
      <c r="D11" s="30" t="str">
        <f>TRIM(IF(AND(ABS('Реестр рисков'!$G$5-0.2)&lt;0.001,ABS('Реестр рисков'!$H$5-0.4)&lt;0.001),'Реестр рисков'!$B$5&amp;" ","")&amp;IF(AND(ABS('Реестр рисков'!$G$6-0.2)&lt;0.001,ABS('Реестр рисков'!$H$6-0.4)&lt;0.001),'Реестр рисков'!$B$6&amp;" ","")&amp;IF(AND(ABS('Реестр рисков'!$G$7-0.2)&lt;0.001,ABS('Реестр рисков'!$H$7-0.4)&lt;0.001),'Реестр рисков'!$B$7&amp;" ","")&amp;IF(AND(ABS('Реестр рисков'!$G$8-0.2)&lt;0.001,ABS('Реестр рисков'!$H$8-0.4)&lt;0.001),'Реестр рисков'!$B$8&amp;" ","")&amp;IF(AND(ABS('Реестр рисков'!$G$9-0.2)&lt;0.001,ABS('Реестр рисков'!$H$9-0.4)&lt;0.001),'Реестр рисков'!$B$9&amp;" ","")&amp;IF(AND(ABS('Реестр рисков'!$G$10-0.2)&lt;0.001,ABS('Реестр рисков'!$H$10-0.4)&lt;0.001),'Реестр рисков'!$B$10&amp;" ","")&amp;IF(AND(ABS('Реестр рисков'!$G$11-0.2)&lt;0.001,ABS('Реестр рисков'!$H$11-0.4)&lt;0.001),'Реестр рисков'!$B$11&amp;" ","")&amp;IF(AND(ABS('Реестр рисков'!$G$12-0.2)&lt;0.001,ABS('Реестр рисков'!$H$12-0.4)&lt;0.001),'Реестр рисков'!$B$12&amp;" ","")&amp;IF(AND(ABS('Реестр рисков'!$G$13-0.2)&lt;0.001,ABS('Реестр рисков'!$H$13-0.4)&lt;0.001),'Реестр рисков'!$B$13&amp;" ","")&amp;IF(AND(ABS('Реестр рисков'!$G$14-0.2)&lt;0.001,ABS('Реестр рисков'!$H$14-0.4)&lt;0.001),'Реестр рисков'!$B$14&amp;" ","")&amp;IF(AND(ABS('Реестр рисков'!$G$15-0.2)&lt;0.001,ABS('Реестр рисков'!$H$15-0.4)&lt;0.001),'Реестр рисков'!$B$15&amp;" ","")&amp;IF(AND(ABS('Реестр рисков'!$G$16-0.2)&lt;0.001,ABS('Реестр рисков'!$H$16-0.4)&lt;0.001),'Реестр рисков'!$B$16&amp;" ","")&amp;IF(AND(ABS('Реестр рисков'!$G$17-0.2)&lt;0.001,ABS('Реестр рисков'!$H$17-0.4)&lt;0.001),'Реестр рисков'!$B$17&amp;" ","")&amp;IF(AND(ABS('Реестр рисков'!$G$18-0.2)&lt;0.001,ABS('Реестр рисков'!$H$18-0.4)&lt;0.001),'Реестр рисков'!$B$18&amp;" ","")&amp;IF(AND(ABS('Реестр рисков'!$G$19-0.2)&lt;0.001,ABS('Реестр рисков'!$H$19-0.4)&lt;0.001),'Реестр рисков'!$B$19&amp;" ","")&amp;IF(AND(ABS('Реестр рисков'!$G$20-0.2)&lt;0.001,ABS('Реестр рисков'!$H$20-0.4)&lt;0.001),'Реестр рисков'!$B$20&amp;" ","")&amp;IF(AND(ABS('Реестр рисков'!$G$21-0.2)&lt;0.001,ABS('Реестр рисков'!$H$21-0.4)&lt;0.001),'Реестр рисков'!$B$21&amp;" ","")&amp;IF(AND(ABS('Реестр рисков'!$G$22-0.2)&lt;0.001,ABS('Реестр рисков'!$H$22-0.4)&lt;0.001),'Реестр рисков'!$B$22&amp;" ","")&amp;IF(AND(ABS('Реестр рисков'!$G$23-0.2)&lt;0.001,ABS('Реестр рисков'!$H$23-0.4)&lt;0.001),'Реестр рисков'!$B$23&amp;" ",""))</f>
        <v/>
      </c>
      <c r="E11" s="30" t="str">
        <f>TRIM(IF(AND(ABS('Реестр рисков'!$G$5-0.3)&lt;0.001,ABS('Реестр рисков'!$H$5-0.4)&lt;0.001),'Реестр рисков'!$B$5&amp;" ","")&amp;IF(AND(ABS('Реестр рисков'!$G$6-0.3)&lt;0.001,ABS('Реестр рисков'!$H$6-0.4)&lt;0.001),'Реестр рисков'!$B$6&amp;" ","")&amp;IF(AND(ABS('Реестр рисков'!$G$7-0.3)&lt;0.001,ABS('Реестр рисков'!$H$7-0.4)&lt;0.001),'Реестр рисков'!$B$7&amp;" ","")&amp;IF(AND(ABS('Реестр рисков'!$G$8-0.3)&lt;0.001,ABS('Реестр рисков'!$H$8-0.4)&lt;0.001),'Реестр рисков'!$B$8&amp;" ","")&amp;IF(AND(ABS('Реестр рисков'!$G$9-0.3)&lt;0.001,ABS('Реестр рисков'!$H$9-0.4)&lt;0.001),'Реестр рисков'!$B$9&amp;" ","")&amp;IF(AND(ABS('Реестр рисков'!$G$10-0.3)&lt;0.001,ABS('Реестр рисков'!$H$10-0.4)&lt;0.001),'Реестр рисков'!$B$10&amp;" ","")&amp;IF(AND(ABS('Реестр рисков'!$G$11-0.3)&lt;0.001,ABS('Реестр рисков'!$H$11-0.4)&lt;0.001),'Реестр рисков'!$B$11&amp;" ","")&amp;IF(AND(ABS('Реестр рисков'!$G$12-0.3)&lt;0.001,ABS('Реестр рисков'!$H$12-0.4)&lt;0.001),'Реестр рисков'!$B$12&amp;" ","")&amp;IF(AND(ABS('Реестр рисков'!$G$13-0.3)&lt;0.001,ABS('Реестр рисков'!$H$13-0.4)&lt;0.001),'Реестр рисков'!$B$13&amp;" ","")&amp;IF(AND(ABS('Реестр рисков'!$G$14-0.3)&lt;0.001,ABS('Реестр рисков'!$H$14-0.4)&lt;0.001),'Реестр рисков'!$B$14&amp;" ","")&amp;IF(AND(ABS('Реестр рисков'!$G$15-0.3)&lt;0.001,ABS('Реестр рисков'!$H$15-0.4)&lt;0.001),'Реестр рисков'!$B$15&amp;" ","")&amp;IF(AND(ABS('Реестр рисков'!$G$16-0.3)&lt;0.001,ABS('Реестр рисков'!$H$16-0.4)&lt;0.001),'Реестр рисков'!$B$16&amp;" ","")&amp;IF(AND(ABS('Реестр рисков'!$G$17-0.3)&lt;0.001,ABS('Реестр рисков'!$H$17-0.4)&lt;0.001),'Реестр рисков'!$B$17&amp;" ","")&amp;IF(AND(ABS('Реестр рисков'!$G$18-0.3)&lt;0.001,ABS('Реестр рисков'!$H$18-0.4)&lt;0.001),'Реестр рисков'!$B$18&amp;" ","")&amp;IF(AND(ABS('Реестр рисков'!$G$19-0.3)&lt;0.001,ABS('Реестр рисков'!$H$19-0.4)&lt;0.001),'Реестр рисков'!$B$19&amp;" ","")&amp;IF(AND(ABS('Реестр рисков'!$G$20-0.3)&lt;0.001,ABS('Реестр рисков'!$H$20-0.4)&lt;0.001),'Реестр рисков'!$B$20&amp;" ","")&amp;IF(AND(ABS('Реестр рисков'!$G$21-0.3)&lt;0.001,ABS('Реестр рисков'!$H$21-0.4)&lt;0.001),'Реестр рисков'!$B$21&amp;" ","")&amp;IF(AND(ABS('Реестр рисков'!$G$22-0.3)&lt;0.001,ABS('Реестр рисков'!$H$22-0.4)&lt;0.001),'Реестр рисков'!$B$22&amp;" ","")&amp;IF(AND(ABS('Реестр рисков'!$G$23-0.3)&lt;0.001,ABS('Реестр рисков'!$H$23-0.4)&lt;0.001),'Реестр рисков'!$B$23&amp;" ",""))</f>
        <v/>
      </c>
      <c r="F11" s="31" t="str">
        <f>TRIM(IF(AND(ABS('Реестр рисков'!$G$5-0.4)&lt;0.001,ABS('Реестр рисков'!$H$5-0.4)&lt;0.001),'Реестр рисков'!$B$5&amp;" ","")&amp;IF(AND(ABS('Реестр рисков'!$G$6-0.4)&lt;0.001,ABS('Реестр рисков'!$H$6-0.4)&lt;0.001),'Реестр рисков'!$B$6&amp;" ","")&amp;IF(AND(ABS('Реестр рисков'!$G$7-0.4)&lt;0.001,ABS('Реестр рисков'!$H$7-0.4)&lt;0.001),'Реестр рисков'!$B$7&amp;" ","")&amp;IF(AND(ABS('Реестр рисков'!$G$8-0.4)&lt;0.001,ABS('Реестр рисков'!$H$8-0.4)&lt;0.001),'Реестр рисков'!$B$8&amp;" ","")&amp;IF(AND(ABS('Реестр рисков'!$G$9-0.4)&lt;0.001,ABS('Реестр рисков'!$H$9-0.4)&lt;0.001),'Реестр рисков'!$B$9&amp;" ","")&amp;IF(AND(ABS('Реестр рисков'!$G$10-0.4)&lt;0.001,ABS('Реестр рисков'!$H$10-0.4)&lt;0.001),'Реестр рисков'!$B$10&amp;" ","")&amp;IF(AND(ABS('Реестр рисков'!$G$11-0.4)&lt;0.001,ABS('Реестр рисков'!$H$11-0.4)&lt;0.001),'Реестр рисков'!$B$11&amp;" ","")&amp;IF(AND(ABS('Реестр рисков'!$G$12-0.4)&lt;0.001,ABS('Реестр рисков'!$H$12-0.4)&lt;0.001),'Реестр рисков'!$B$12&amp;" ","")&amp;IF(AND(ABS('Реестр рисков'!$G$13-0.4)&lt;0.001,ABS('Реестр рисков'!$H$13-0.4)&lt;0.001),'Реестр рисков'!$B$13&amp;" ","")&amp;IF(AND(ABS('Реестр рисков'!$G$14-0.4)&lt;0.001,ABS('Реестр рисков'!$H$14-0.4)&lt;0.001),'Реестр рисков'!$B$14&amp;" ","")&amp;IF(AND(ABS('Реестр рисков'!$G$15-0.4)&lt;0.001,ABS('Реестр рисков'!$H$15-0.4)&lt;0.001),'Реестр рисков'!$B$15&amp;" ","")&amp;IF(AND(ABS('Реестр рисков'!$G$16-0.4)&lt;0.001,ABS('Реестр рисков'!$H$16-0.4)&lt;0.001),'Реестр рисков'!$B$16&amp;" ","")&amp;IF(AND(ABS('Реестр рисков'!$G$17-0.4)&lt;0.001,ABS('Реестр рисков'!$H$17-0.4)&lt;0.001),'Реестр рисков'!$B$17&amp;" ","")&amp;IF(AND(ABS('Реестр рисков'!$G$18-0.4)&lt;0.001,ABS('Реестр рисков'!$H$18-0.4)&lt;0.001),'Реестр рисков'!$B$18&amp;" ","")&amp;IF(AND(ABS('Реестр рисков'!$G$19-0.4)&lt;0.001,ABS('Реестр рисков'!$H$19-0.4)&lt;0.001),'Реестр рисков'!$B$19&amp;" ","")&amp;IF(AND(ABS('Реестр рисков'!$G$20-0.4)&lt;0.001,ABS('Реестр рисков'!$H$20-0.4)&lt;0.001),'Реестр рисков'!$B$20&amp;" ","")&amp;IF(AND(ABS('Реестр рисков'!$G$21-0.4)&lt;0.001,ABS('Реестр рисков'!$H$21-0.4)&lt;0.001),'Реестр рисков'!$B$21&amp;" ","")&amp;IF(AND(ABS('Реестр рисков'!$G$22-0.4)&lt;0.001,ABS('Реестр рисков'!$H$22-0.4)&lt;0.001),'Реестр рисков'!$B$22&amp;" ","")&amp;IF(AND(ABS('Реестр рисков'!$G$23-0.4)&lt;0.001,ABS('Реестр рисков'!$H$23-0.4)&lt;0.001),'Реестр рисков'!$B$23&amp;" ",""))</f>
        <v/>
      </c>
      <c r="G11" s="31" t="str">
        <f>TRIM(IF(AND(ABS('Реестр рисков'!$G$5-0.5)&lt;0.001,ABS('Реестр рисков'!$H$5-0.4)&lt;0.001),'Реестр рисков'!$B$5&amp;" ","")&amp;IF(AND(ABS('Реестр рисков'!$G$6-0.5)&lt;0.001,ABS('Реестр рисков'!$H$6-0.4)&lt;0.001),'Реестр рисков'!$B$6&amp;" ","")&amp;IF(AND(ABS('Реестр рисков'!$G$7-0.5)&lt;0.001,ABS('Реестр рисков'!$H$7-0.4)&lt;0.001),'Реестр рисков'!$B$7&amp;" ","")&amp;IF(AND(ABS('Реестр рисков'!$G$8-0.5)&lt;0.001,ABS('Реестр рисков'!$H$8-0.4)&lt;0.001),'Реестр рисков'!$B$8&amp;" ","")&amp;IF(AND(ABS('Реестр рисков'!$G$9-0.5)&lt;0.001,ABS('Реестр рисков'!$H$9-0.4)&lt;0.001),'Реестр рисков'!$B$9&amp;" ","")&amp;IF(AND(ABS('Реестр рисков'!$G$10-0.5)&lt;0.001,ABS('Реестр рисков'!$H$10-0.4)&lt;0.001),'Реестр рисков'!$B$10&amp;" ","")&amp;IF(AND(ABS('Реестр рисков'!$G$11-0.5)&lt;0.001,ABS('Реестр рисков'!$H$11-0.4)&lt;0.001),'Реестр рисков'!$B$11&amp;" ","")&amp;IF(AND(ABS('Реестр рисков'!$G$12-0.5)&lt;0.001,ABS('Реестр рисков'!$H$12-0.4)&lt;0.001),'Реестр рисков'!$B$12&amp;" ","")&amp;IF(AND(ABS('Реестр рисков'!$G$13-0.5)&lt;0.001,ABS('Реестр рисков'!$H$13-0.4)&lt;0.001),'Реестр рисков'!$B$13&amp;" ","")&amp;IF(AND(ABS('Реестр рисков'!$G$14-0.5)&lt;0.001,ABS('Реестр рисков'!$H$14-0.4)&lt;0.001),'Реестр рисков'!$B$14&amp;" ","")&amp;IF(AND(ABS('Реестр рисков'!$G$15-0.5)&lt;0.001,ABS('Реестр рисков'!$H$15-0.4)&lt;0.001),'Реестр рисков'!$B$15&amp;" ","")&amp;IF(AND(ABS('Реестр рисков'!$G$16-0.5)&lt;0.001,ABS('Реестр рисков'!$H$16-0.4)&lt;0.001),'Реестр рисков'!$B$16&amp;" ","")&amp;IF(AND(ABS('Реестр рисков'!$G$17-0.5)&lt;0.001,ABS('Реестр рисков'!$H$17-0.4)&lt;0.001),'Реестр рисков'!$B$17&amp;" ","")&amp;IF(AND(ABS('Реестр рисков'!$G$18-0.5)&lt;0.001,ABS('Реестр рисков'!$H$18-0.4)&lt;0.001),'Реестр рисков'!$B$18&amp;" ","")&amp;IF(AND(ABS('Реестр рисков'!$G$19-0.5)&lt;0.001,ABS('Реестр рисков'!$H$19-0.4)&lt;0.001),'Реестр рисков'!$B$19&amp;" ","")&amp;IF(AND(ABS('Реестр рисков'!$G$20-0.5)&lt;0.001,ABS('Реестр рисков'!$H$20-0.4)&lt;0.001),'Реестр рисков'!$B$20&amp;" ","")&amp;IF(AND(ABS('Реестр рисков'!$G$21-0.5)&lt;0.001,ABS('Реестр рисков'!$H$21-0.4)&lt;0.001),'Реестр рисков'!$B$21&amp;" ","")&amp;IF(AND(ABS('Реестр рисков'!$G$22-0.5)&lt;0.001,ABS('Реестр рисков'!$H$22-0.4)&lt;0.001),'Реестр рисков'!$B$22&amp;" ","")&amp;IF(AND(ABS('Реестр рисков'!$G$23-0.5)&lt;0.001,ABS('Реестр рисков'!$H$23-0.4)&lt;0.001),'Реестр рисков'!$B$23&amp;" ",""))</f>
        <v/>
      </c>
      <c r="H11" s="31" t="str">
        <f>TRIM(IF(AND(ABS('Реестр рисков'!$G$5-0.6)&lt;0.001,ABS('Реестр рисков'!$H$5-0.4)&lt;0.001),'Реестр рисков'!$B$5&amp;" ","")&amp;IF(AND(ABS('Реестр рисков'!$G$6-0.6)&lt;0.001,ABS('Реестр рисков'!$H$6-0.4)&lt;0.001),'Реестр рисков'!$B$6&amp;" ","")&amp;IF(AND(ABS('Реестр рисков'!$G$7-0.6)&lt;0.001,ABS('Реестр рисков'!$H$7-0.4)&lt;0.001),'Реестр рисков'!$B$7&amp;" ","")&amp;IF(AND(ABS('Реестр рисков'!$G$8-0.6)&lt;0.001,ABS('Реестр рисков'!$H$8-0.4)&lt;0.001),'Реестр рисков'!$B$8&amp;" ","")&amp;IF(AND(ABS('Реестр рисков'!$G$9-0.6)&lt;0.001,ABS('Реестр рисков'!$H$9-0.4)&lt;0.001),'Реестр рисков'!$B$9&amp;" ","")&amp;IF(AND(ABS('Реестр рисков'!$G$10-0.6)&lt;0.001,ABS('Реестр рисков'!$H$10-0.4)&lt;0.001),'Реестр рисков'!$B$10&amp;" ","")&amp;IF(AND(ABS('Реестр рисков'!$G$11-0.6)&lt;0.001,ABS('Реестр рисков'!$H$11-0.4)&lt;0.001),'Реестр рисков'!$B$11&amp;" ","")&amp;IF(AND(ABS('Реестр рисков'!$G$12-0.6)&lt;0.001,ABS('Реестр рисков'!$H$12-0.4)&lt;0.001),'Реестр рисков'!$B$12&amp;" ","")&amp;IF(AND(ABS('Реестр рисков'!$G$13-0.6)&lt;0.001,ABS('Реестр рисков'!$H$13-0.4)&lt;0.001),'Реестр рисков'!$B$13&amp;" ","")&amp;IF(AND(ABS('Реестр рисков'!$G$14-0.6)&lt;0.001,ABS('Реестр рисков'!$H$14-0.4)&lt;0.001),'Реестр рисков'!$B$14&amp;" ","")&amp;IF(AND(ABS('Реестр рисков'!$G$15-0.6)&lt;0.001,ABS('Реестр рисков'!$H$15-0.4)&lt;0.001),'Реестр рисков'!$B$15&amp;" ","")&amp;IF(AND(ABS('Реестр рисков'!$G$16-0.6)&lt;0.001,ABS('Реестр рисков'!$H$16-0.4)&lt;0.001),'Реестр рисков'!$B$16&amp;" ","")&amp;IF(AND(ABS('Реестр рисков'!$G$17-0.6)&lt;0.001,ABS('Реестр рисков'!$H$17-0.4)&lt;0.001),'Реестр рисков'!$B$17&amp;" ","")&amp;IF(AND(ABS('Реестр рисков'!$G$18-0.6)&lt;0.001,ABS('Реестр рисков'!$H$18-0.4)&lt;0.001),'Реестр рисков'!$B$18&amp;" ","")&amp;IF(AND(ABS('Реестр рисков'!$G$19-0.6)&lt;0.001,ABS('Реестр рисков'!$H$19-0.4)&lt;0.001),'Реестр рисков'!$B$19&amp;" ","")&amp;IF(AND(ABS('Реестр рисков'!$G$20-0.6)&lt;0.001,ABS('Реестр рисков'!$H$20-0.4)&lt;0.001),'Реестр рисков'!$B$20&amp;" ","")&amp;IF(AND(ABS('Реестр рисков'!$G$21-0.6)&lt;0.001,ABS('Реестр рисков'!$H$21-0.4)&lt;0.001),'Реестр рисков'!$B$21&amp;" ","")&amp;IF(AND(ABS('Реестр рисков'!$G$22-0.6)&lt;0.001,ABS('Реестр рисков'!$H$22-0.4)&lt;0.001),'Реестр рисков'!$B$22&amp;" ","")&amp;IF(AND(ABS('Реестр рисков'!$G$23-0.6)&lt;0.001,ABS('Реестр рисков'!$H$23-0.4)&lt;0.001),'Реестр рисков'!$B$23&amp;" ",""))</f>
        <v>R15</v>
      </c>
      <c r="I11" s="31" t="str">
        <f>TRIM(IF(AND(ABS('Реестр рисков'!$G$5-0.7)&lt;0.001,ABS('Реестр рисков'!$H$5-0.4)&lt;0.001),'Реестр рисков'!$B$5&amp;" ","")&amp;IF(AND(ABS('Реестр рисков'!$G$6-0.7)&lt;0.001,ABS('Реестр рисков'!$H$6-0.4)&lt;0.001),'Реестр рисков'!$B$6&amp;" ","")&amp;IF(AND(ABS('Реестр рисков'!$G$7-0.7)&lt;0.001,ABS('Реестр рисков'!$H$7-0.4)&lt;0.001),'Реестр рисков'!$B$7&amp;" ","")&amp;IF(AND(ABS('Реестр рисков'!$G$8-0.7)&lt;0.001,ABS('Реестр рисков'!$H$8-0.4)&lt;0.001),'Реестр рисков'!$B$8&amp;" ","")&amp;IF(AND(ABS('Реестр рисков'!$G$9-0.7)&lt;0.001,ABS('Реестр рисков'!$H$9-0.4)&lt;0.001),'Реестр рисков'!$B$9&amp;" ","")&amp;IF(AND(ABS('Реестр рисков'!$G$10-0.7)&lt;0.001,ABS('Реестр рисков'!$H$10-0.4)&lt;0.001),'Реестр рисков'!$B$10&amp;" ","")&amp;IF(AND(ABS('Реестр рисков'!$G$11-0.7)&lt;0.001,ABS('Реестр рисков'!$H$11-0.4)&lt;0.001),'Реестр рисков'!$B$11&amp;" ","")&amp;IF(AND(ABS('Реестр рисков'!$G$12-0.7)&lt;0.001,ABS('Реестр рисков'!$H$12-0.4)&lt;0.001),'Реестр рисков'!$B$12&amp;" ","")&amp;IF(AND(ABS('Реестр рисков'!$G$13-0.7)&lt;0.001,ABS('Реестр рисков'!$H$13-0.4)&lt;0.001),'Реестр рисков'!$B$13&amp;" ","")&amp;IF(AND(ABS('Реестр рисков'!$G$14-0.7)&lt;0.001,ABS('Реестр рисков'!$H$14-0.4)&lt;0.001),'Реестр рисков'!$B$14&amp;" ","")&amp;IF(AND(ABS('Реестр рисков'!$G$15-0.7)&lt;0.001,ABS('Реестр рисков'!$H$15-0.4)&lt;0.001),'Реестр рисков'!$B$15&amp;" ","")&amp;IF(AND(ABS('Реестр рисков'!$G$16-0.7)&lt;0.001,ABS('Реестр рисков'!$H$16-0.4)&lt;0.001),'Реестр рисков'!$B$16&amp;" ","")&amp;IF(AND(ABS('Реестр рисков'!$G$17-0.7)&lt;0.001,ABS('Реестр рисков'!$H$17-0.4)&lt;0.001),'Реестр рисков'!$B$17&amp;" ","")&amp;IF(AND(ABS('Реестр рисков'!$G$18-0.7)&lt;0.001,ABS('Реестр рисков'!$H$18-0.4)&lt;0.001),'Реестр рисков'!$B$18&amp;" ","")&amp;IF(AND(ABS('Реестр рисков'!$G$19-0.7)&lt;0.001,ABS('Реестр рисков'!$H$19-0.4)&lt;0.001),'Реестр рисков'!$B$19&amp;" ","")&amp;IF(AND(ABS('Реестр рисков'!$G$20-0.7)&lt;0.001,ABS('Реестр рисков'!$H$20-0.4)&lt;0.001),'Реестр рисков'!$B$20&amp;" ","")&amp;IF(AND(ABS('Реестр рисков'!$G$21-0.7)&lt;0.001,ABS('Реестр рисков'!$H$21-0.4)&lt;0.001),'Реестр рисков'!$B$21&amp;" ","")&amp;IF(AND(ABS('Реестр рисков'!$G$22-0.7)&lt;0.001,ABS('Реестр рисков'!$H$22-0.4)&lt;0.001),'Реестр рисков'!$B$22&amp;" ","")&amp;IF(AND(ABS('Реестр рисков'!$G$23-0.7)&lt;0.001,ABS('Реестр рисков'!$H$23-0.4)&lt;0.001),'Реестр рисков'!$B$23&amp;" ",""))</f>
        <v/>
      </c>
      <c r="J11" s="31" t="str">
        <f>TRIM(IF(AND(ABS('Реестр рисков'!$G$5-0.8)&lt;0.001,ABS('Реестр рисков'!$H$5-0.4)&lt;0.001),'Реестр рисков'!$B$5&amp;" ","")&amp;IF(AND(ABS('Реестр рисков'!$G$6-0.8)&lt;0.001,ABS('Реестр рисков'!$H$6-0.4)&lt;0.001),'Реестр рисков'!$B$6&amp;" ","")&amp;IF(AND(ABS('Реестр рисков'!$G$7-0.8)&lt;0.001,ABS('Реестр рисков'!$H$7-0.4)&lt;0.001),'Реестр рисков'!$B$7&amp;" ","")&amp;IF(AND(ABS('Реестр рисков'!$G$8-0.8)&lt;0.001,ABS('Реестр рисков'!$H$8-0.4)&lt;0.001),'Реестр рисков'!$B$8&amp;" ","")&amp;IF(AND(ABS('Реестр рисков'!$G$9-0.8)&lt;0.001,ABS('Реестр рисков'!$H$9-0.4)&lt;0.001),'Реестр рисков'!$B$9&amp;" ","")&amp;IF(AND(ABS('Реестр рисков'!$G$10-0.8)&lt;0.001,ABS('Реестр рисков'!$H$10-0.4)&lt;0.001),'Реестр рисков'!$B$10&amp;" ","")&amp;IF(AND(ABS('Реестр рисков'!$G$11-0.8)&lt;0.001,ABS('Реестр рисков'!$H$11-0.4)&lt;0.001),'Реестр рисков'!$B$11&amp;" ","")&amp;IF(AND(ABS('Реестр рисков'!$G$12-0.8)&lt;0.001,ABS('Реестр рисков'!$H$12-0.4)&lt;0.001),'Реестр рисков'!$B$12&amp;" ","")&amp;IF(AND(ABS('Реестр рисков'!$G$13-0.8)&lt;0.001,ABS('Реестр рисков'!$H$13-0.4)&lt;0.001),'Реестр рисков'!$B$13&amp;" ","")&amp;IF(AND(ABS('Реестр рисков'!$G$14-0.8)&lt;0.001,ABS('Реестр рисков'!$H$14-0.4)&lt;0.001),'Реестр рисков'!$B$14&amp;" ","")&amp;IF(AND(ABS('Реестр рисков'!$G$15-0.8)&lt;0.001,ABS('Реестр рисков'!$H$15-0.4)&lt;0.001),'Реестр рисков'!$B$15&amp;" ","")&amp;IF(AND(ABS('Реестр рисков'!$G$16-0.8)&lt;0.001,ABS('Реестр рисков'!$H$16-0.4)&lt;0.001),'Реестр рисков'!$B$16&amp;" ","")&amp;IF(AND(ABS('Реестр рисков'!$G$17-0.8)&lt;0.001,ABS('Реестр рисков'!$H$17-0.4)&lt;0.001),'Реестр рисков'!$B$17&amp;" ","")&amp;IF(AND(ABS('Реестр рисков'!$G$18-0.8)&lt;0.001,ABS('Реестр рисков'!$H$18-0.4)&lt;0.001),'Реестр рисков'!$B$18&amp;" ","")&amp;IF(AND(ABS('Реестр рисков'!$G$19-0.8)&lt;0.001,ABS('Реестр рисков'!$H$19-0.4)&lt;0.001),'Реестр рисков'!$B$19&amp;" ","")&amp;IF(AND(ABS('Реестр рисков'!$G$20-0.8)&lt;0.001,ABS('Реестр рисков'!$H$20-0.4)&lt;0.001),'Реестр рисков'!$B$20&amp;" ","")&amp;IF(AND(ABS('Реестр рисков'!$G$21-0.8)&lt;0.001,ABS('Реестр рисков'!$H$21-0.4)&lt;0.001),'Реестр рисков'!$B$21&amp;" ","")&amp;IF(AND(ABS('Реестр рисков'!$G$22-0.8)&lt;0.001,ABS('Реестр рисков'!$H$22-0.4)&lt;0.001),'Реестр рисков'!$B$22&amp;" ","")&amp;IF(AND(ABS('Реестр рисков'!$G$23-0.8)&lt;0.001,ABS('Реестр рисков'!$H$23-0.4)&lt;0.001),'Реестр рисков'!$B$23&amp;" ",""))</f>
        <v/>
      </c>
      <c r="K11" s="31" t="str">
        <f>TRIM(IF(AND(ABS('Реестр рисков'!$G$5-0.9)&lt;0.001,ABS('Реестр рисков'!$H$5-0.4)&lt;0.001),'Реестр рисков'!$B$5&amp;" ","")&amp;IF(AND(ABS('Реестр рисков'!$G$6-0.9)&lt;0.001,ABS('Реестр рисков'!$H$6-0.4)&lt;0.001),'Реестр рисков'!$B$6&amp;" ","")&amp;IF(AND(ABS('Реестр рисков'!$G$7-0.9)&lt;0.001,ABS('Реестр рисков'!$H$7-0.4)&lt;0.001),'Реестр рисков'!$B$7&amp;" ","")&amp;IF(AND(ABS('Реестр рисков'!$G$8-0.9)&lt;0.001,ABS('Реестр рисков'!$H$8-0.4)&lt;0.001),'Реестр рисков'!$B$8&amp;" ","")&amp;IF(AND(ABS('Реестр рисков'!$G$9-0.9)&lt;0.001,ABS('Реестр рисков'!$H$9-0.4)&lt;0.001),'Реестр рисков'!$B$9&amp;" ","")&amp;IF(AND(ABS('Реестр рисков'!$G$10-0.9)&lt;0.001,ABS('Реестр рисков'!$H$10-0.4)&lt;0.001),'Реестр рисков'!$B$10&amp;" ","")&amp;IF(AND(ABS('Реестр рисков'!$G$11-0.9)&lt;0.001,ABS('Реестр рисков'!$H$11-0.4)&lt;0.001),'Реестр рисков'!$B$11&amp;" ","")&amp;IF(AND(ABS('Реестр рисков'!$G$12-0.9)&lt;0.001,ABS('Реестр рисков'!$H$12-0.4)&lt;0.001),'Реестр рисков'!$B$12&amp;" ","")&amp;IF(AND(ABS('Реестр рисков'!$G$13-0.9)&lt;0.001,ABS('Реестр рисков'!$H$13-0.4)&lt;0.001),'Реестр рисков'!$B$13&amp;" ","")&amp;IF(AND(ABS('Реестр рисков'!$G$14-0.9)&lt;0.001,ABS('Реестр рисков'!$H$14-0.4)&lt;0.001),'Реестр рисков'!$B$14&amp;" ","")&amp;IF(AND(ABS('Реестр рисков'!$G$15-0.9)&lt;0.001,ABS('Реестр рисков'!$H$15-0.4)&lt;0.001),'Реестр рисков'!$B$15&amp;" ","")&amp;IF(AND(ABS('Реестр рисков'!$G$16-0.9)&lt;0.001,ABS('Реестр рисков'!$H$16-0.4)&lt;0.001),'Реестр рисков'!$B$16&amp;" ","")&amp;IF(AND(ABS('Реестр рисков'!$G$17-0.9)&lt;0.001,ABS('Реестр рисков'!$H$17-0.4)&lt;0.001),'Реестр рисков'!$B$17&amp;" ","")&amp;IF(AND(ABS('Реестр рисков'!$G$18-0.9)&lt;0.001,ABS('Реестр рисков'!$H$18-0.4)&lt;0.001),'Реестр рисков'!$B$18&amp;" ","")&amp;IF(AND(ABS('Реестр рисков'!$G$19-0.9)&lt;0.001,ABS('Реестр рисков'!$H$19-0.4)&lt;0.001),'Реестр рисков'!$B$19&amp;" ","")&amp;IF(AND(ABS('Реестр рисков'!$G$20-0.9)&lt;0.001,ABS('Реестр рисков'!$H$20-0.4)&lt;0.001),'Реестр рисков'!$B$20&amp;" ","")&amp;IF(AND(ABS('Реестр рисков'!$G$21-0.9)&lt;0.001,ABS('Реестр рисков'!$H$21-0.4)&lt;0.001),'Реестр рисков'!$B$21&amp;" ","")&amp;IF(AND(ABS('Реестр рисков'!$G$22-0.9)&lt;0.001,ABS('Реестр рисков'!$H$22-0.4)&lt;0.001),'Реестр рисков'!$B$22&amp;" ","")&amp;IF(AND(ABS('Реестр рисков'!$G$23-0.9)&lt;0.001,ABS('Реестр рисков'!$H$23-0.4)&lt;0.001),'Реестр рисков'!$B$23&amp;" ",""))</f>
        <v/>
      </c>
      <c r="L11" s="31" t="str">
        <f>TRIM(IF(AND(ABS('Реестр рисков'!$G$5-1)&lt;0.001,ABS('Реестр рисков'!$H$5-0.4)&lt;0.001),'Реестр рисков'!$B$5&amp;" ","")&amp;IF(AND(ABS('Реестр рисков'!$G$6-1)&lt;0.001,ABS('Реестр рисков'!$H$6-0.4)&lt;0.001),'Реестр рисков'!$B$6&amp;" ","")&amp;IF(AND(ABS('Реестр рисков'!$G$7-1)&lt;0.001,ABS('Реестр рисков'!$H$7-0.4)&lt;0.001),'Реестр рисков'!$B$7&amp;" ","")&amp;IF(AND(ABS('Реестр рисков'!$G$8-1)&lt;0.001,ABS('Реестр рисков'!$H$8-0.4)&lt;0.001),'Реестр рисков'!$B$8&amp;" ","")&amp;IF(AND(ABS('Реестр рисков'!$G$9-1)&lt;0.001,ABS('Реестр рисков'!$H$9-0.4)&lt;0.001),'Реестр рисков'!$B$9&amp;" ","")&amp;IF(AND(ABS('Реестр рисков'!$G$10-1)&lt;0.001,ABS('Реестр рисков'!$H$10-0.4)&lt;0.001),'Реестр рисков'!$B$10&amp;" ","")&amp;IF(AND(ABS('Реестр рисков'!$G$11-1)&lt;0.001,ABS('Реестр рисков'!$H$11-0.4)&lt;0.001),'Реестр рисков'!$B$11&amp;" ","")&amp;IF(AND(ABS('Реестр рисков'!$G$12-1)&lt;0.001,ABS('Реестр рисков'!$H$12-0.4)&lt;0.001),'Реестр рисков'!$B$12&amp;" ","")&amp;IF(AND(ABS('Реестр рисков'!$G$13-1)&lt;0.001,ABS('Реестр рисков'!$H$13-0.4)&lt;0.001),'Реестр рисков'!$B$13&amp;" ","")&amp;IF(AND(ABS('Реестр рисков'!$G$14-1)&lt;0.001,ABS('Реестр рисков'!$H$14-0.4)&lt;0.001),'Реестр рисков'!$B$14&amp;" ","")&amp;IF(AND(ABS('Реестр рисков'!$G$15-1)&lt;0.001,ABS('Реестр рисков'!$H$15-0.4)&lt;0.001),'Реестр рисков'!$B$15&amp;" ","")&amp;IF(AND(ABS('Реестр рисков'!$G$16-1)&lt;0.001,ABS('Реестр рисков'!$H$16-0.4)&lt;0.001),'Реестр рисков'!$B$16&amp;" ","")&amp;IF(AND(ABS('Реестр рисков'!$G$17-1)&lt;0.001,ABS('Реестр рисков'!$H$17-0.4)&lt;0.001),'Реестр рисков'!$B$17&amp;" ","")&amp;IF(AND(ABS('Реестр рисков'!$G$18-1)&lt;0.001,ABS('Реестр рисков'!$H$18-0.4)&lt;0.001),'Реестр рисков'!$B$18&amp;" ","")&amp;IF(AND(ABS('Реестр рисков'!$G$19-1)&lt;0.001,ABS('Реестр рисков'!$H$19-0.4)&lt;0.001),'Реестр рисков'!$B$19&amp;" ","")&amp;IF(AND(ABS('Реестр рисков'!$G$20-1)&lt;0.001,ABS('Реестр рисков'!$H$20-0.4)&lt;0.001),'Реестр рисков'!$B$20&amp;" ","")&amp;IF(AND(ABS('Реестр рисков'!$G$21-1)&lt;0.001,ABS('Реестр рисков'!$H$21-0.4)&lt;0.001),'Реестр рисков'!$B$21&amp;" ","")&amp;IF(AND(ABS('Реестр рисков'!$G$22-1)&lt;0.001,ABS('Реестр рисков'!$H$22-0.4)&lt;0.001),'Реестр рисков'!$B$22&amp;" ","")&amp;IF(AND(ABS('Реестр рисков'!$G$23-1)&lt;0.001,ABS('Реестр рисков'!$H$23-0.4)&lt;0.001),'Реестр рисков'!$B$23&amp;" ",""))</f>
        <v/>
      </c>
    </row>
    <row r="12" spans="1:12" ht="30" customHeight="1" x14ac:dyDescent="0.45">
      <c r="A12" s="5"/>
      <c r="B12" s="29">
        <v>0.3</v>
      </c>
      <c r="C12" s="30" t="str">
        <f>TRIM(IF(AND(ABS('Реестр рисков'!$G$5-0.1)&lt;0.001,ABS('Реестр рисков'!$H$5-0.3)&lt;0.001),'Реестр рисков'!$B$5&amp;" ","")&amp;IF(AND(ABS('Реестр рисков'!$G$6-0.1)&lt;0.001,ABS('Реестр рисков'!$H$6-0.3)&lt;0.001),'Реестр рисков'!$B$6&amp;" ","")&amp;IF(AND(ABS('Реестр рисков'!$G$7-0.1)&lt;0.001,ABS('Реестр рисков'!$H$7-0.3)&lt;0.001),'Реестр рисков'!$B$7&amp;" ","")&amp;IF(AND(ABS('Реестр рисков'!$G$8-0.1)&lt;0.001,ABS('Реестр рисков'!$H$8-0.3)&lt;0.001),'Реестр рисков'!$B$8&amp;" ","")&amp;IF(AND(ABS('Реестр рисков'!$G$9-0.1)&lt;0.001,ABS('Реестр рисков'!$H$9-0.3)&lt;0.001),'Реестр рисков'!$B$9&amp;" ","")&amp;IF(AND(ABS('Реестр рисков'!$G$10-0.1)&lt;0.001,ABS('Реестр рисков'!$H$10-0.3)&lt;0.001),'Реестр рисков'!$B$10&amp;" ","")&amp;IF(AND(ABS('Реестр рисков'!$G$11-0.1)&lt;0.001,ABS('Реестр рисков'!$H$11-0.3)&lt;0.001),'Реестр рисков'!$B$11&amp;" ","")&amp;IF(AND(ABS('Реестр рисков'!$G$12-0.1)&lt;0.001,ABS('Реестр рисков'!$H$12-0.3)&lt;0.001),'Реестр рисков'!$B$12&amp;" ","")&amp;IF(AND(ABS('Реестр рисков'!$G$13-0.1)&lt;0.001,ABS('Реестр рисков'!$H$13-0.3)&lt;0.001),'Реестр рисков'!$B$13&amp;" ","")&amp;IF(AND(ABS('Реестр рисков'!$G$14-0.1)&lt;0.001,ABS('Реестр рисков'!$H$14-0.3)&lt;0.001),'Реестр рисков'!$B$14&amp;" ","")&amp;IF(AND(ABS('Реестр рисков'!$G$15-0.1)&lt;0.001,ABS('Реестр рисков'!$H$15-0.3)&lt;0.001),'Реестр рисков'!$B$15&amp;" ","")&amp;IF(AND(ABS('Реестр рисков'!$G$16-0.1)&lt;0.001,ABS('Реестр рисков'!$H$16-0.3)&lt;0.001),'Реестр рисков'!$B$16&amp;" ","")&amp;IF(AND(ABS('Реестр рисков'!$G$17-0.1)&lt;0.001,ABS('Реестр рисков'!$H$17-0.3)&lt;0.001),'Реестр рисков'!$B$17&amp;" ","")&amp;IF(AND(ABS('Реестр рисков'!$G$18-0.1)&lt;0.001,ABS('Реестр рисков'!$H$18-0.3)&lt;0.001),'Реестр рисков'!$B$18&amp;" ","")&amp;IF(AND(ABS('Реестр рисков'!$G$19-0.1)&lt;0.001,ABS('Реестр рисков'!$H$19-0.3)&lt;0.001),'Реестр рисков'!$B$19&amp;" ","")&amp;IF(AND(ABS('Реестр рисков'!$G$20-0.1)&lt;0.001,ABS('Реестр рисков'!$H$20-0.3)&lt;0.001),'Реестр рисков'!$B$20&amp;" ","")&amp;IF(AND(ABS('Реестр рисков'!$G$21-0.1)&lt;0.001,ABS('Реестр рисков'!$H$21-0.3)&lt;0.001),'Реестр рисков'!$B$21&amp;" ","")&amp;IF(AND(ABS('Реестр рисков'!$G$22-0.1)&lt;0.001,ABS('Реестр рисков'!$H$22-0.3)&lt;0.001),'Реестр рисков'!$B$22&amp;" ","")&amp;IF(AND(ABS('Реестр рисков'!$G$23-0.1)&lt;0.001,ABS('Реестр рисков'!$H$23-0.3)&lt;0.001),'Реестр рисков'!$B$23&amp;" ",""))</f>
        <v/>
      </c>
      <c r="D12" s="30" t="str">
        <f>TRIM(IF(AND(ABS('Реестр рисков'!$G$5-0.2)&lt;0.001,ABS('Реестр рисков'!$H$5-0.3)&lt;0.001),'Реестр рисков'!$B$5&amp;" ","")&amp;IF(AND(ABS('Реестр рисков'!$G$6-0.2)&lt;0.001,ABS('Реестр рисков'!$H$6-0.3)&lt;0.001),'Реестр рисков'!$B$6&amp;" ","")&amp;IF(AND(ABS('Реестр рисков'!$G$7-0.2)&lt;0.001,ABS('Реестр рисков'!$H$7-0.3)&lt;0.001),'Реестр рисков'!$B$7&amp;" ","")&amp;IF(AND(ABS('Реестр рисков'!$G$8-0.2)&lt;0.001,ABS('Реестр рисков'!$H$8-0.3)&lt;0.001),'Реестр рисков'!$B$8&amp;" ","")&amp;IF(AND(ABS('Реестр рисков'!$G$9-0.2)&lt;0.001,ABS('Реестр рисков'!$H$9-0.3)&lt;0.001),'Реестр рисков'!$B$9&amp;" ","")&amp;IF(AND(ABS('Реестр рисков'!$G$10-0.2)&lt;0.001,ABS('Реестр рисков'!$H$10-0.3)&lt;0.001),'Реестр рисков'!$B$10&amp;" ","")&amp;IF(AND(ABS('Реестр рисков'!$G$11-0.2)&lt;0.001,ABS('Реестр рисков'!$H$11-0.3)&lt;0.001),'Реестр рисков'!$B$11&amp;" ","")&amp;IF(AND(ABS('Реестр рисков'!$G$12-0.2)&lt;0.001,ABS('Реестр рисков'!$H$12-0.3)&lt;0.001),'Реестр рисков'!$B$12&amp;" ","")&amp;IF(AND(ABS('Реестр рисков'!$G$13-0.2)&lt;0.001,ABS('Реестр рисков'!$H$13-0.3)&lt;0.001),'Реестр рисков'!$B$13&amp;" ","")&amp;IF(AND(ABS('Реестр рисков'!$G$14-0.2)&lt;0.001,ABS('Реестр рисков'!$H$14-0.3)&lt;0.001),'Реестр рисков'!$B$14&amp;" ","")&amp;IF(AND(ABS('Реестр рисков'!$G$15-0.2)&lt;0.001,ABS('Реестр рисков'!$H$15-0.3)&lt;0.001),'Реестр рисков'!$B$15&amp;" ","")&amp;IF(AND(ABS('Реестр рисков'!$G$16-0.2)&lt;0.001,ABS('Реестр рисков'!$H$16-0.3)&lt;0.001),'Реестр рисков'!$B$16&amp;" ","")&amp;IF(AND(ABS('Реестр рисков'!$G$17-0.2)&lt;0.001,ABS('Реестр рисков'!$H$17-0.3)&lt;0.001),'Реестр рисков'!$B$17&amp;" ","")&amp;IF(AND(ABS('Реестр рисков'!$G$18-0.2)&lt;0.001,ABS('Реестр рисков'!$H$18-0.3)&lt;0.001),'Реестр рисков'!$B$18&amp;" ","")&amp;IF(AND(ABS('Реестр рисков'!$G$19-0.2)&lt;0.001,ABS('Реестр рисков'!$H$19-0.3)&lt;0.001),'Реестр рисков'!$B$19&amp;" ","")&amp;IF(AND(ABS('Реестр рисков'!$G$20-0.2)&lt;0.001,ABS('Реестр рисков'!$H$20-0.3)&lt;0.001),'Реестр рисков'!$B$20&amp;" ","")&amp;IF(AND(ABS('Реестр рисков'!$G$21-0.2)&lt;0.001,ABS('Реестр рисков'!$H$21-0.3)&lt;0.001),'Реестр рисков'!$B$21&amp;" ","")&amp;IF(AND(ABS('Реестр рисков'!$G$22-0.2)&lt;0.001,ABS('Реестр рисков'!$H$22-0.3)&lt;0.001),'Реестр рисков'!$B$22&amp;" ","")&amp;IF(AND(ABS('Реестр рисков'!$G$23-0.2)&lt;0.001,ABS('Реестр рисков'!$H$23-0.3)&lt;0.001),'Реестр рисков'!$B$23&amp;" ",""))</f>
        <v/>
      </c>
      <c r="E12" s="30" t="str">
        <f>TRIM(IF(AND(ABS('Реестр рисков'!$G$5-0.3)&lt;0.001,ABS('Реестр рисков'!$H$5-0.3)&lt;0.001),'Реестр рисков'!$B$5&amp;" ","")&amp;IF(AND(ABS('Реестр рисков'!$G$6-0.3)&lt;0.001,ABS('Реестр рисков'!$H$6-0.3)&lt;0.001),'Реестр рисков'!$B$6&amp;" ","")&amp;IF(AND(ABS('Реестр рисков'!$G$7-0.3)&lt;0.001,ABS('Реестр рисков'!$H$7-0.3)&lt;0.001),'Реестр рисков'!$B$7&amp;" ","")&amp;IF(AND(ABS('Реестр рисков'!$G$8-0.3)&lt;0.001,ABS('Реестр рисков'!$H$8-0.3)&lt;0.001),'Реестр рисков'!$B$8&amp;" ","")&amp;IF(AND(ABS('Реестр рисков'!$G$9-0.3)&lt;0.001,ABS('Реестр рисков'!$H$9-0.3)&lt;0.001),'Реестр рисков'!$B$9&amp;" ","")&amp;IF(AND(ABS('Реестр рисков'!$G$10-0.3)&lt;0.001,ABS('Реестр рисков'!$H$10-0.3)&lt;0.001),'Реестр рисков'!$B$10&amp;" ","")&amp;IF(AND(ABS('Реестр рисков'!$G$11-0.3)&lt;0.001,ABS('Реестр рисков'!$H$11-0.3)&lt;0.001),'Реестр рисков'!$B$11&amp;" ","")&amp;IF(AND(ABS('Реестр рисков'!$G$12-0.3)&lt;0.001,ABS('Реестр рисков'!$H$12-0.3)&lt;0.001),'Реестр рисков'!$B$12&amp;" ","")&amp;IF(AND(ABS('Реестр рисков'!$G$13-0.3)&lt;0.001,ABS('Реестр рисков'!$H$13-0.3)&lt;0.001),'Реестр рисков'!$B$13&amp;" ","")&amp;IF(AND(ABS('Реестр рисков'!$G$14-0.3)&lt;0.001,ABS('Реестр рисков'!$H$14-0.3)&lt;0.001),'Реестр рисков'!$B$14&amp;" ","")&amp;IF(AND(ABS('Реестр рисков'!$G$15-0.3)&lt;0.001,ABS('Реестр рисков'!$H$15-0.3)&lt;0.001),'Реестр рисков'!$B$15&amp;" ","")&amp;IF(AND(ABS('Реестр рисков'!$G$16-0.3)&lt;0.001,ABS('Реестр рисков'!$H$16-0.3)&lt;0.001),'Реестр рисков'!$B$16&amp;" ","")&amp;IF(AND(ABS('Реестр рисков'!$G$17-0.3)&lt;0.001,ABS('Реестр рисков'!$H$17-0.3)&lt;0.001),'Реестр рисков'!$B$17&amp;" ","")&amp;IF(AND(ABS('Реестр рисков'!$G$18-0.3)&lt;0.001,ABS('Реестр рисков'!$H$18-0.3)&lt;0.001),'Реестр рисков'!$B$18&amp;" ","")&amp;IF(AND(ABS('Реестр рисков'!$G$19-0.3)&lt;0.001,ABS('Реестр рисков'!$H$19-0.3)&lt;0.001),'Реестр рисков'!$B$19&amp;" ","")&amp;IF(AND(ABS('Реестр рисков'!$G$20-0.3)&lt;0.001,ABS('Реестр рисков'!$H$20-0.3)&lt;0.001),'Реестр рисков'!$B$20&amp;" ","")&amp;IF(AND(ABS('Реестр рисков'!$G$21-0.3)&lt;0.001,ABS('Реестр рисков'!$H$21-0.3)&lt;0.001),'Реестр рисков'!$B$21&amp;" ","")&amp;IF(AND(ABS('Реестр рисков'!$G$22-0.3)&lt;0.001,ABS('Реестр рисков'!$H$22-0.3)&lt;0.001),'Реестр рисков'!$B$22&amp;" ","")&amp;IF(AND(ABS('Реестр рисков'!$G$23-0.3)&lt;0.001,ABS('Реестр рисков'!$H$23-0.3)&lt;0.001),'Реестр рисков'!$B$23&amp;" ",""))</f>
        <v/>
      </c>
      <c r="F12" s="30" t="str">
        <f>TRIM(IF(AND(ABS('Реестр рисков'!$G$5-0.4)&lt;0.001,ABS('Реестр рисков'!$H$5-0.3)&lt;0.001),'Реестр рисков'!$B$5&amp;" ","")&amp;IF(AND(ABS('Реестр рисков'!$G$6-0.4)&lt;0.001,ABS('Реестр рисков'!$H$6-0.3)&lt;0.001),'Реестр рисков'!$B$6&amp;" ","")&amp;IF(AND(ABS('Реестр рисков'!$G$7-0.4)&lt;0.001,ABS('Реестр рисков'!$H$7-0.3)&lt;0.001),'Реестр рисков'!$B$7&amp;" ","")&amp;IF(AND(ABS('Реестр рисков'!$G$8-0.4)&lt;0.001,ABS('Реестр рисков'!$H$8-0.3)&lt;0.001),'Реестр рисков'!$B$8&amp;" ","")&amp;IF(AND(ABS('Реестр рисков'!$G$9-0.4)&lt;0.001,ABS('Реестр рисков'!$H$9-0.3)&lt;0.001),'Реестр рисков'!$B$9&amp;" ","")&amp;IF(AND(ABS('Реестр рисков'!$G$10-0.4)&lt;0.001,ABS('Реестр рисков'!$H$10-0.3)&lt;0.001),'Реестр рисков'!$B$10&amp;" ","")&amp;IF(AND(ABS('Реестр рисков'!$G$11-0.4)&lt;0.001,ABS('Реестр рисков'!$H$11-0.3)&lt;0.001),'Реестр рисков'!$B$11&amp;" ","")&amp;IF(AND(ABS('Реестр рисков'!$G$12-0.4)&lt;0.001,ABS('Реестр рисков'!$H$12-0.3)&lt;0.001),'Реестр рисков'!$B$12&amp;" ","")&amp;IF(AND(ABS('Реестр рисков'!$G$13-0.4)&lt;0.001,ABS('Реестр рисков'!$H$13-0.3)&lt;0.001),'Реестр рисков'!$B$13&amp;" ","")&amp;IF(AND(ABS('Реестр рисков'!$G$14-0.4)&lt;0.001,ABS('Реестр рисков'!$H$14-0.3)&lt;0.001),'Реестр рисков'!$B$14&amp;" ","")&amp;IF(AND(ABS('Реестр рисков'!$G$15-0.4)&lt;0.001,ABS('Реестр рисков'!$H$15-0.3)&lt;0.001),'Реестр рисков'!$B$15&amp;" ","")&amp;IF(AND(ABS('Реестр рисков'!$G$16-0.4)&lt;0.001,ABS('Реестр рисков'!$H$16-0.3)&lt;0.001),'Реестр рисков'!$B$16&amp;" ","")&amp;IF(AND(ABS('Реестр рисков'!$G$17-0.4)&lt;0.001,ABS('Реестр рисков'!$H$17-0.3)&lt;0.001),'Реестр рисков'!$B$17&amp;" ","")&amp;IF(AND(ABS('Реестр рисков'!$G$18-0.4)&lt;0.001,ABS('Реестр рисков'!$H$18-0.3)&lt;0.001),'Реестр рисков'!$B$18&amp;" ","")&amp;IF(AND(ABS('Реестр рисков'!$G$19-0.4)&lt;0.001,ABS('Реестр рисков'!$H$19-0.3)&lt;0.001),'Реестр рисков'!$B$19&amp;" ","")&amp;IF(AND(ABS('Реестр рисков'!$G$20-0.4)&lt;0.001,ABS('Реестр рисков'!$H$20-0.3)&lt;0.001),'Реестр рисков'!$B$20&amp;" ","")&amp;IF(AND(ABS('Реестр рисков'!$G$21-0.4)&lt;0.001,ABS('Реестр рисков'!$H$21-0.3)&lt;0.001),'Реестр рисков'!$B$21&amp;" ","")&amp;IF(AND(ABS('Реестр рисков'!$G$22-0.4)&lt;0.001,ABS('Реестр рисков'!$H$22-0.3)&lt;0.001),'Реестр рисков'!$B$22&amp;" ","")&amp;IF(AND(ABS('Реестр рисков'!$G$23-0.4)&lt;0.001,ABS('Реестр рисков'!$H$23-0.3)&lt;0.001),'Реестр рисков'!$B$23&amp;" ",""))</f>
        <v>R19</v>
      </c>
      <c r="G12" s="31" t="str">
        <f>TRIM(IF(AND(ABS('Реестр рисков'!$G$5-0.5)&lt;0.001,ABS('Реестр рисков'!$H$5-0.3)&lt;0.001),'Реестр рисков'!$B$5&amp;" ","")&amp;IF(AND(ABS('Реестр рисков'!$G$6-0.5)&lt;0.001,ABS('Реестр рисков'!$H$6-0.3)&lt;0.001),'Реестр рисков'!$B$6&amp;" ","")&amp;IF(AND(ABS('Реестр рисков'!$G$7-0.5)&lt;0.001,ABS('Реестр рисков'!$H$7-0.3)&lt;0.001),'Реестр рисков'!$B$7&amp;" ","")&amp;IF(AND(ABS('Реестр рисков'!$G$8-0.5)&lt;0.001,ABS('Реестр рисков'!$H$8-0.3)&lt;0.001),'Реестр рисков'!$B$8&amp;" ","")&amp;IF(AND(ABS('Реестр рисков'!$G$9-0.5)&lt;0.001,ABS('Реестр рисков'!$H$9-0.3)&lt;0.001),'Реестр рисков'!$B$9&amp;" ","")&amp;IF(AND(ABS('Реестр рисков'!$G$10-0.5)&lt;0.001,ABS('Реестр рисков'!$H$10-0.3)&lt;0.001),'Реестр рисков'!$B$10&amp;" ","")&amp;IF(AND(ABS('Реестр рисков'!$G$11-0.5)&lt;0.001,ABS('Реестр рисков'!$H$11-0.3)&lt;0.001),'Реестр рисков'!$B$11&amp;" ","")&amp;IF(AND(ABS('Реестр рисков'!$G$12-0.5)&lt;0.001,ABS('Реестр рисков'!$H$12-0.3)&lt;0.001),'Реестр рисков'!$B$12&amp;" ","")&amp;IF(AND(ABS('Реестр рисков'!$G$13-0.5)&lt;0.001,ABS('Реестр рисков'!$H$13-0.3)&lt;0.001),'Реестр рисков'!$B$13&amp;" ","")&amp;IF(AND(ABS('Реестр рисков'!$G$14-0.5)&lt;0.001,ABS('Реестр рисков'!$H$14-0.3)&lt;0.001),'Реестр рисков'!$B$14&amp;" ","")&amp;IF(AND(ABS('Реестр рисков'!$G$15-0.5)&lt;0.001,ABS('Реестр рисков'!$H$15-0.3)&lt;0.001),'Реестр рисков'!$B$15&amp;" ","")&amp;IF(AND(ABS('Реестр рисков'!$G$16-0.5)&lt;0.001,ABS('Реестр рисков'!$H$16-0.3)&lt;0.001),'Реестр рисков'!$B$16&amp;" ","")&amp;IF(AND(ABS('Реестр рисков'!$G$17-0.5)&lt;0.001,ABS('Реестр рисков'!$H$17-0.3)&lt;0.001),'Реестр рисков'!$B$17&amp;" ","")&amp;IF(AND(ABS('Реестр рисков'!$G$18-0.5)&lt;0.001,ABS('Реестр рисков'!$H$18-0.3)&lt;0.001),'Реестр рисков'!$B$18&amp;" ","")&amp;IF(AND(ABS('Реестр рисков'!$G$19-0.5)&lt;0.001,ABS('Реестр рисков'!$H$19-0.3)&lt;0.001),'Реестр рисков'!$B$19&amp;" ","")&amp;IF(AND(ABS('Реестр рисков'!$G$20-0.5)&lt;0.001,ABS('Реестр рисков'!$H$20-0.3)&lt;0.001),'Реестр рисков'!$B$20&amp;" ","")&amp;IF(AND(ABS('Реестр рисков'!$G$21-0.5)&lt;0.001,ABS('Реестр рисков'!$H$21-0.3)&lt;0.001),'Реестр рисков'!$B$21&amp;" ","")&amp;IF(AND(ABS('Реестр рисков'!$G$22-0.5)&lt;0.001,ABS('Реестр рисков'!$H$22-0.3)&lt;0.001),'Реестр рисков'!$B$22&amp;" ","")&amp;IF(AND(ABS('Реестр рисков'!$G$23-0.5)&lt;0.001,ABS('Реестр рисков'!$H$23-0.3)&lt;0.001),'Реестр рисков'!$B$23&amp;" ",""))</f>
        <v/>
      </c>
      <c r="H12" s="31" t="str">
        <f>TRIM(IF(AND(ABS('Реестр рисков'!$G$5-0.6)&lt;0.001,ABS('Реестр рисков'!$H$5-0.3)&lt;0.001),'Реестр рисков'!$B$5&amp;" ","")&amp;IF(AND(ABS('Реестр рисков'!$G$6-0.6)&lt;0.001,ABS('Реестр рисков'!$H$6-0.3)&lt;0.001),'Реестр рисков'!$B$6&amp;" ","")&amp;IF(AND(ABS('Реестр рисков'!$G$7-0.6)&lt;0.001,ABS('Реестр рисков'!$H$7-0.3)&lt;0.001),'Реестр рисков'!$B$7&amp;" ","")&amp;IF(AND(ABS('Реестр рисков'!$G$8-0.6)&lt;0.001,ABS('Реестр рисков'!$H$8-0.3)&lt;0.001),'Реестр рисков'!$B$8&amp;" ","")&amp;IF(AND(ABS('Реестр рисков'!$G$9-0.6)&lt;0.001,ABS('Реестр рисков'!$H$9-0.3)&lt;0.001),'Реестр рисков'!$B$9&amp;" ","")&amp;IF(AND(ABS('Реестр рисков'!$G$10-0.6)&lt;0.001,ABS('Реестр рисков'!$H$10-0.3)&lt;0.001),'Реестр рисков'!$B$10&amp;" ","")&amp;IF(AND(ABS('Реестр рисков'!$G$11-0.6)&lt;0.001,ABS('Реестр рисков'!$H$11-0.3)&lt;0.001),'Реестр рисков'!$B$11&amp;" ","")&amp;IF(AND(ABS('Реестр рисков'!$G$12-0.6)&lt;0.001,ABS('Реестр рисков'!$H$12-0.3)&lt;0.001),'Реестр рисков'!$B$12&amp;" ","")&amp;IF(AND(ABS('Реестр рисков'!$G$13-0.6)&lt;0.001,ABS('Реестр рисков'!$H$13-0.3)&lt;0.001),'Реестр рисков'!$B$13&amp;" ","")&amp;IF(AND(ABS('Реестр рисков'!$G$14-0.6)&lt;0.001,ABS('Реестр рисков'!$H$14-0.3)&lt;0.001),'Реестр рисков'!$B$14&amp;" ","")&amp;IF(AND(ABS('Реестр рисков'!$G$15-0.6)&lt;0.001,ABS('Реестр рисков'!$H$15-0.3)&lt;0.001),'Реестр рисков'!$B$15&amp;" ","")&amp;IF(AND(ABS('Реестр рисков'!$G$16-0.6)&lt;0.001,ABS('Реестр рисков'!$H$16-0.3)&lt;0.001),'Реестр рисков'!$B$16&amp;" ","")&amp;IF(AND(ABS('Реестр рисков'!$G$17-0.6)&lt;0.001,ABS('Реестр рисков'!$H$17-0.3)&lt;0.001),'Реестр рисков'!$B$17&amp;" ","")&amp;IF(AND(ABS('Реестр рисков'!$G$18-0.6)&lt;0.001,ABS('Реестр рисков'!$H$18-0.3)&lt;0.001),'Реестр рисков'!$B$18&amp;" ","")&amp;IF(AND(ABS('Реестр рисков'!$G$19-0.6)&lt;0.001,ABS('Реестр рисков'!$H$19-0.3)&lt;0.001),'Реестр рисков'!$B$19&amp;" ","")&amp;IF(AND(ABS('Реестр рисков'!$G$20-0.6)&lt;0.001,ABS('Реестр рисков'!$H$20-0.3)&lt;0.001),'Реестр рисков'!$B$20&amp;" ","")&amp;IF(AND(ABS('Реестр рисков'!$G$21-0.6)&lt;0.001,ABS('Реестр рисков'!$H$21-0.3)&lt;0.001),'Реестр рисков'!$B$21&amp;" ","")&amp;IF(AND(ABS('Реестр рисков'!$G$22-0.6)&lt;0.001,ABS('Реестр рисков'!$H$22-0.3)&lt;0.001),'Реестр рисков'!$B$22&amp;" ","")&amp;IF(AND(ABS('Реестр рисков'!$G$23-0.6)&lt;0.001,ABS('Реестр рисков'!$H$23-0.3)&lt;0.001),'Реестр рисков'!$B$23&amp;" ",""))</f>
        <v/>
      </c>
      <c r="I12" s="31" t="str">
        <f>TRIM(IF(AND(ABS('Реестр рисков'!$G$5-0.7)&lt;0.001,ABS('Реестр рисков'!$H$5-0.3)&lt;0.001),'Реестр рисков'!$B$5&amp;" ","")&amp;IF(AND(ABS('Реестр рисков'!$G$6-0.7)&lt;0.001,ABS('Реестр рисков'!$H$6-0.3)&lt;0.001),'Реестр рисков'!$B$6&amp;" ","")&amp;IF(AND(ABS('Реестр рисков'!$G$7-0.7)&lt;0.001,ABS('Реестр рисков'!$H$7-0.3)&lt;0.001),'Реестр рисков'!$B$7&amp;" ","")&amp;IF(AND(ABS('Реестр рисков'!$G$8-0.7)&lt;0.001,ABS('Реестр рисков'!$H$8-0.3)&lt;0.001),'Реестр рисков'!$B$8&amp;" ","")&amp;IF(AND(ABS('Реестр рисков'!$G$9-0.7)&lt;0.001,ABS('Реестр рисков'!$H$9-0.3)&lt;0.001),'Реестр рисков'!$B$9&amp;" ","")&amp;IF(AND(ABS('Реестр рисков'!$G$10-0.7)&lt;0.001,ABS('Реестр рисков'!$H$10-0.3)&lt;0.001),'Реестр рисков'!$B$10&amp;" ","")&amp;IF(AND(ABS('Реестр рисков'!$G$11-0.7)&lt;0.001,ABS('Реестр рисков'!$H$11-0.3)&lt;0.001),'Реестр рисков'!$B$11&amp;" ","")&amp;IF(AND(ABS('Реестр рисков'!$G$12-0.7)&lt;0.001,ABS('Реестр рисков'!$H$12-0.3)&lt;0.001),'Реестр рисков'!$B$12&amp;" ","")&amp;IF(AND(ABS('Реестр рисков'!$G$13-0.7)&lt;0.001,ABS('Реестр рисков'!$H$13-0.3)&lt;0.001),'Реестр рисков'!$B$13&amp;" ","")&amp;IF(AND(ABS('Реестр рисков'!$G$14-0.7)&lt;0.001,ABS('Реестр рисков'!$H$14-0.3)&lt;0.001),'Реестр рисков'!$B$14&amp;" ","")&amp;IF(AND(ABS('Реестр рисков'!$G$15-0.7)&lt;0.001,ABS('Реестр рисков'!$H$15-0.3)&lt;0.001),'Реестр рисков'!$B$15&amp;" ","")&amp;IF(AND(ABS('Реестр рисков'!$G$16-0.7)&lt;0.001,ABS('Реестр рисков'!$H$16-0.3)&lt;0.001),'Реестр рисков'!$B$16&amp;" ","")&amp;IF(AND(ABS('Реестр рисков'!$G$17-0.7)&lt;0.001,ABS('Реестр рисков'!$H$17-0.3)&lt;0.001),'Реестр рисков'!$B$17&amp;" ","")&amp;IF(AND(ABS('Реестр рисков'!$G$18-0.7)&lt;0.001,ABS('Реестр рисков'!$H$18-0.3)&lt;0.001),'Реестр рисков'!$B$18&amp;" ","")&amp;IF(AND(ABS('Реестр рисков'!$G$19-0.7)&lt;0.001,ABS('Реестр рисков'!$H$19-0.3)&lt;0.001),'Реестр рисков'!$B$19&amp;" ","")&amp;IF(AND(ABS('Реестр рисков'!$G$20-0.7)&lt;0.001,ABS('Реестр рисков'!$H$20-0.3)&lt;0.001),'Реестр рисков'!$B$20&amp;" ","")&amp;IF(AND(ABS('Реестр рисков'!$G$21-0.7)&lt;0.001,ABS('Реестр рисков'!$H$21-0.3)&lt;0.001),'Реестр рисков'!$B$21&amp;" ","")&amp;IF(AND(ABS('Реестр рисков'!$G$22-0.7)&lt;0.001,ABS('Реестр рисков'!$H$22-0.3)&lt;0.001),'Реестр рисков'!$B$22&amp;" ","")&amp;IF(AND(ABS('Реестр рисков'!$G$23-0.7)&lt;0.001,ABS('Реестр рисков'!$H$23-0.3)&lt;0.001),'Реестр рисков'!$B$23&amp;" ",""))</f>
        <v/>
      </c>
      <c r="J12" s="31" t="str">
        <f>TRIM(IF(AND(ABS('Реестр рисков'!$G$5-0.8)&lt;0.001,ABS('Реестр рисков'!$H$5-0.3)&lt;0.001),'Реестр рисков'!$B$5&amp;" ","")&amp;IF(AND(ABS('Реестр рисков'!$G$6-0.8)&lt;0.001,ABS('Реестр рисков'!$H$6-0.3)&lt;0.001),'Реестр рисков'!$B$6&amp;" ","")&amp;IF(AND(ABS('Реестр рисков'!$G$7-0.8)&lt;0.001,ABS('Реестр рисков'!$H$7-0.3)&lt;0.001),'Реестр рисков'!$B$7&amp;" ","")&amp;IF(AND(ABS('Реестр рисков'!$G$8-0.8)&lt;0.001,ABS('Реестр рисков'!$H$8-0.3)&lt;0.001),'Реестр рисков'!$B$8&amp;" ","")&amp;IF(AND(ABS('Реестр рисков'!$G$9-0.8)&lt;0.001,ABS('Реестр рисков'!$H$9-0.3)&lt;0.001),'Реестр рисков'!$B$9&amp;" ","")&amp;IF(AND(ABS('Реестр рисков'!$G$10-0.8)&lt;0.001,ABS('Реестр рисков'!$H$10-0.3)&lt;0.001),'Реестр рисков'!$B$10&amp;" ","")&amp;IF(AND(ABS('Реестр рисков'!$G$11-0.8)&lt;0.001,ABS('Реестр рисков'!$H$11-0.3)&lt;0.001),'Реестр рисков'!$B$11&amp;" ","")&amp;IF(AND(ABS('Реестр рисков'!$G$12-0.8)&lt;0.001,ABS('Реестр рисков'!$H$12-0.3)&lt;0.001),'Реестр рисков'!$B$12&amp;" ","")&amp;IF(AND(ABS('Реестр рисков'!$G$13-0.8)&lt;0.001,ABS('Реестр рисков'!$H$13-0.3)&lt;0.001),'Реестр рисков'!$B$13&amp;" ","")&amp;IF(AND(ABS('Реестр рисков'!$G$14-0.8)&lt;0.001,ABS('Реестр рисков'!$H$14-0.3)&lt;0.001),'Реестр рисков'!$B$14&amp;" ","")&amp;IF(AND(ABS('Реестр рисков'!$G$15-0.8)&lt;0.001,ABS('Реестр рисков'!$H$15-0.3)&lt;0.001),'Реестр рисков'!$B$15&amp;" ","")&amp;IF(AND(ABS('Реестр рисков'!$G$16-0.8)&lt;0.001,ABS('Реестр рисков'!$H$16-0.3)&lt;0.001),'Реестр рисков'!$B$16&amp;" ","")&amp;IF(AND(ABS('Реестр рисков'!$G$17-0.8)&lt;0.001,ABS('Реестр рисков'!$H$17-0.3)&lt;0.001),'Реестр рисков'!$B$17&amp;" ","")&amp;IF(AND(ABS('Реестр рисков'!$G$18-0.8)&lt;0.001,ABS('Реестр рисков'!$H$18-0.3)&lt;0.001),'Реестр рисков'!$B$18&amp;" ","")&amp;IF(AND(ABS('Реестр рисков'!$G$19-0.8)&lt;0.001,ABS('Реестр рисков'!$H$19-0.3)&lt;0.001),'Реестр рисков'!$B$19&amp;" ","")&amp;IF(AND(ABS('Реестр рисков'!$G$20-0.8)&lt;0.001,ABS('Реестр рисков'!$H$20-0.3)&lt;0.001),'Реестр рисков'!$B$20&amp;" ","")&amp;IF(AND(ABS('Реестр рисков'!$G$21-0.8)&lt;0.001,ABS('Реестр рисков'!$H$21-0.3)&lt;0.001),'Реестр рисков'!$B$21&amp;" ","")&amp;IF(AND(ABS('Реестр рисков'!$G$22-0.8)&lt;0.001,ABS('Реестр рисков'!$H$22-0.3)&lt;0.001),'Реестр рисков'!$B$22&amp;" ","")&amp;IF(AND(ABS('Реестр рисков'!$G$23-0.8)&lt;0.001,ABS('Реестр рисков'!$H$23-0.3)&lt;0.001),'Реестр рисков'!$B$23&amp;" ",""))</f>
        <v/>
      </c>
      <c r="K12" s="31" t="str">
        <f>TRIM(IF(AND(ABS('Реестр рисков'!$G$5-0.9)&lt;0.001,ABS('Реестр рисков'!$H$5-0.3)&lt;0.001),'Реестр рисков'!$B$5&amp;" ","")&amp;IF(AND(ABS('Реестр рисков'!$G$6-0.9)&lt;0.001,ABS('Реестр рисков'!$H$6-0.3)&lt;0.001),'Реестр рисков'!$B$6&amp;" ","")&amp;IF(AND(ABS('Реестр рисков'!$G$7-0.9)&lt;0.001,ABS('Реестр рисков'!$H$7-0.3)&lt;0.001),'Реестр рисков'!$B$7&amp;" ","")&amp;IF(AND(ABS('Реестр рисков'!$G$8-0.9)&lt;0.001,ABS('Реестр рисков'!$H$8-0.3)&lt;0.001),'Реестр рисков'!$B$8&amp;" ","")&amp;IF(AND(ABS('Реестр рисков'!$G$9-0.9)&lt;0.001,ABS('Реестр рисков'!$H$9-0.3)&lt;0.001),'Реестр рисков'!$B$9&amp;" ","")&amp;IF(AND(ABS('Реестр рисков'!$G$10-0.9)&lt;0.001,ABS('Реестр рисков'!$H$10-0.3)&lt;0.001),'Реестр рисков'!$B$10&amp;" ","")&amp;IF(AND(ABS('Реестр рисков'!$G$11-0.9)&lt;0.001,ABS('Реестр рисков'!$H$11-0.3)&lt;0.001),'Реестр рисков'!$B$11&amp;" ","")&amp;IF(AND(ABS('Реестр рисков'!$G$12-0.9)&lt;0.001,ABS('Реестр рисков'!$H$12-0.3)&lt;0.001),'Реестр рисков'!$B$12&amp;" ","")&amp;IF(AND(ABS('Реестр рисков'!$G$13-0.9)&lt;0.001,ABS('Реестр рисков'!$H$13-0.3)&lt;0.001),'Реестр рисков'!$B$13&amp;" ","")&amp;IF(AND(ABS('Реестр рисков'!$G$14-0.9)&lt;0.001,ABS('Реестр рисков'!$H$14-0.3)&lt;0.001),'Реестр рисков'!$B$14&amp;" ","")&amp;IF(AND(ABS('Реестр рисков'!$G$15-0.9)&lt;0.001,ABS('Реестр рисков'!$H$15-0.3)&lt;0.001),'Реестр рисков'!$B$15&amp;" ","")&amp;IF(AND(ABS('Реестр рисков'!$G$16-0.9)&lt;0.001,ABS('Реестр рисков'!$H$16-0.3)&lt;0.001),'Реестр рисков'!$B$16&amp;" ","")&amp;IF(AND(ABS('Реестр рисков'!$G$17-0.9)&lt;0.001,ABS('Реестр рисков'!$H$17-0.3)&lt;0.001),'Реестр рисков'!$B$17&amp;" ","")&amp;IF(AND(ABS('Реестр рисков'!$G$18-0.9)&lt;0.001,ABS('Реестр рисков'!$H$18-0.3)&lt;0.001),'Реестр рисков'!$B$18&amp;" ","")&amp;IF(AND(ABS('Реестр рисков'!$G$19-0.9)&lt;0.001,ABS('Реестр рисков'!$H$19-0.3)&lt;0.001),'Реестр рисков'!$B$19&amp;" ","")&amp;IF(AND(ABS('Реестр рисков'!$G$20-0.9)&lt;0.001,ABS('Реестр рисков'!$H$20-0.3)&lt;0.001),'Реестр рисков'!$B$20&amp;" ","")&amp;IF(AND(ABS('Реестр рисков'!$G$21-0.9)&lt;0.001,ABS('Реестр рисков'!$H$21-0.3)&lt;0.001),'Реестр рисков'!$B$21&amp;" ","")&amp;IF(AND(ABS('Реестр рисков'!$G$22-0.9)&lt;0.001,ABS('Реестр рисков'!$H$22-0.3)&lt;0.001),'Реестр рисков'!$B$22&amp;" ","")&amp;IF(AND(ABS('Реестр рисков'!$G$23-0.9)&lt;0.001,ABS('Реестр рисков'!$H$23-0.3)&lt;0.001),'Реестр рисков'!$B$23&amp;" ",""))</f>
        <v/>
      </c>
      <c r="L12" s="31" t="str">
        <f>TRIM(IF(AND(ABS('Реестр рисков'!$G$5-1)&lt;0.001,ABS('Реестр рисков'!$H$5-0.3)&lt;0.001),'Реестр рисков'!$B$5&amp;" ","")&amp;IF(AND(ABS('Реестр рисков'!$G$6-1)&lt;0.001,ABS('Реестр рисков'!$H$6-0.3)&lt;0.001),'Реестр рисков'!$B$6&amp;" ","")&amp;IF(AND(ABS('Реестр рисков'!$G$7-1)&lt;0.001,ABS('Реестр рисков'!$H$7-0.3)&lt;0.001),'Реестр рисков'!$B$7&amp;" ","")&amp;IF(AND(ABS('Реестр рисков'!$G$8-1)&lt;0.001,ABS('Реестр рисков'!$H$8-0.3)&lt;0.001),'Реестр рисков'!$B$8&amp;" ","")&amp;IF(AND(ABS('Реестр рисков'!$G$9-1)&lt;0.001,ABS('Реестр рисков'!$H$9-0.3)&lt;0.001),'Реестр рисков'!$B$9&amp;" ","")&amp;IF(AND(ABS('Реестр рисков'!$G$10-1)&lt;0.001,ABS('Реестр рисков'!$H$10-0.3)&lt;0.001),'Реестр рисков'!$B$10&amp;" ","")&amp;IF(AND(ABS('Реестр рисков'!$G$11-1)&lt;0.001,ABS('Реестр рисков'!$H$11-0.3)&lt;0.001),'Реестр рисков'!$B$11&amp;" ","")&amp;IF(AND(ABS('Реестр рисков'!$G$12-1)&lt;0.001,ABS('Реестр рисков'!$H$12-0.3)&lt;0.001),'Реестр рисков'!$B$12&amp;" ","")&amp;IF(AND(ABS('Реестр рисков'!$G$13-1)&lt;0.001,ABS('Реестр рисков'!$H$13-0.3)&lt;0.001),'Реестр рисков'!$B$13&amp;" ","")&amp;IF(AND(ABS('Реестр рисков'!$G$14-1)&lt;0.001,ABS('Реестр рисков'!$H$14-0.3)&lt;0.001),'Реестр рисков'!$B$14&amp;" ","")&amp;IF(AND(ABS('Реестр рисков'!$G$15-1)&lt;0.001,ABS('Реестр рисков'!$H$15-0.3)&lt;0.001),'Реестр рисков'!$B$15&amp;" ","")&amp;IF(AND(ABS('Реестр рисков'!$G$16-1)&lt;0.001,ABS('Реестр рисков'!$H$16-0.3)&lt;0.001),'Реестр рисков'!$B$16&amp;" ","")&amp;IF(AND(ABS('Реестр рисков'!$G$17-1)&lt;0.001,ABS('Реестр рисков'!$H$17-0.3)&lt;0.001),'Реестр рисков'!$B$17&amp;" ","")&amp;IF(AND(ABS('Реестр рисков'!$G$18-1)&lt;0.001,ABS('Реестр рисков'!$H$18-0.3)&lt;0.001),'Реестр рисков'!$B$18&amp;" ","")&amp;IF(AND(ABS('Реестр рисков'!$G$19-1)&lt;0.001,ABS('Реестр рисков'!$H$19-0.3)&lt;0.001),'Реестр рисков'!$B$19&amp;" ","")&amp;IF(AND(ABS('Реестр рисков'!$G$20-1)&lt;0.001,ABS('Реестр рисков'!$H$20-0.3)&lt;0.001),'Реестр рисков'!$B$20&amp;" ","")&amp;IF(AND(ABS('Реестр рисков'!$G$21-1)&lt;0.001,ABS('Реестр рисков'!$H$21-0.3)&lt;0.001),'Реестр рисков'!$B$21&amp;" ","")&amp;IF(AND(ABS('Реестр рисков'!$G$22-1)&lt;0.001,ABS('Реестр рисков'!$H$22-0.3)&lt;0.001),'Реестр рисков'!$B$22&amp;" ","")&amp;IF(AND(ABS('Реестр рисков'!$G$23-1)&lt;0.001,ABS('Реестр рисков'!$H$23-0.3)&lt;0.001),'Реестр рисков'!$B$23&amp;" ",""))</f>
        <v/>
      </c>
    </row>
    <row r="13" spans="1:12" ht="30" customHeight="1" x14ac:dyDescent="0.45">
      <c r="A13" s="5"/>
      <c r="B13" s="29">
        <v>0.2</v>
      </c>
      <c r="C13" s="30" t="str">
        <f>TRIM(IF(AND(ABS('Реестр рисков'!$G$5-0.1)&lt;0.001,ABS('Реестр рисков'!$H$5-0.2)&lt;0.001),'Реестр рисков'!$B$5&amp;" ","")&amp;IF(AND(ABS('Реестр рисков'!$G$6-0.1)&lt;0.001,ABS('Реестр рисков'!$H$6-0.2)&lt;0.001),'Реестр рисков'!$B$6&amp;" ","")&amp;IF(AND(ABS('Реестр рисков'!$G$7-0.1)&lt;0.001,ABS('Реестр рисков'!$H$7-0.2)&lt;0.001),'Реестр рисков'!$B$7&amp;" ","")&amp;IF(AND(ABS('Реестр рисков'!$G$8-0.1)&lt;0.001,ABS('Реестр рисков'!$H$8-0.2)&lt;0.001),'Реестр рисков'!$B$8&amp;" ","")&amp;IF(AND(ABS('Реестр рисков'!$G$9-0.1)&lt;0.001,ABS('Реестр рисков'!$H$9-0.2)&lt;0.001),'Реестр рисков'!$B$9&amp;" ","")&amp;IF(AND(ABS('Реестр рисков'!$G$10-0.1)&lt;0.001,ABS('Реестр рисков'!$H$10-0.2)&lt;0.001),'Реестр рисков'!$B$10&amp;" ","")&amp;IF(AND(ABS('Реестр рисков'!$G$11-0.1)&lt;0.001,ABS('Реестр рисков'!$H$11-0.2)&lt;0.001),'Реестр рисков'!$B$11&amp;" ","")&amp;IF(AND(ABS('Реестр рисков'!$G$12-0.1)&lt;0.001,ABS('Реестр рисков'!$H$12-0.2)&lt;0.001),'Реестр рисков'!$B$12&amp;" ","")&amp;IF(AND(ABS('Реестр рисков'!$G$13-0.1)&lt;0.001,ABS('Реестр рисков'!$H$13-0.2)&lt;0.001),'Реестр рисков'!$B$13&amp;" ","")&amp;IF(AND(ABS('Реестр рисков'!$G$14-0.1)&lt;0.001,ABS('Реестр рисков'!$H$14-0.2)&lt;0.001),'Реестр рисков'!$B$14&amp;" ","")&amp;IF(AND(ABS('Реестр рисков'!$G$15-0.1)&lt;0.001,ABS('Реестр рисков'!$H$15-0.2)&lt;0.001),'Реестр рисков'!$B$15&amp;" ","")&amp;IF(AND(ABS('Реестр рисков'!$G$16-0.1)&lt;0.001,ABS('Реестр рисков'!$H$16-0.2)&lt;0.001),'Реестр рисков'!$B$16&amp;" ","")&amp;IF(AND(ABS('Реестр рисков'!$G$17-0.1)&lt;0.001,ABS('Реестр рисков'!$H$17-0.2)&lt;0.001),'Реестр рисков'!$B$17&amp;" ","")&amp;IF(AND(ABS('Реестр рисков'!$G$18-0.1)&lt;0.001,ABS('Реестр рисков'!$H$18-0.2)&lt;0.001),'Реестр рисков'!$B$18&amp;" ","")&amp;IF(AND(ABS('Реестр рисков'!$G$19-0.1)&lt;0.001,ABS('Реестр рисков'!$H$19-0.2)&lt;0.001),'Реестр рисков'!$B$19&amp;" ","")&amp;IF(AND(ABS('Реестр рисков'!$G$20-0.1)&lt;0.001,ABS('Реестр рисков'!$H$20-0.2)&lt;0.001),'Реестр рисков'!$B$20&amp;" ","")&amp;IF(AND(ABS('Реестр рисков'!$G$21-0.1)&lt;0.001,ABS('Реестр рисков'!$H$21-0.2)&lt;0.001),'Реестр рисков'!$B$21&amp;" ","")&amp;IF(AND(ABS('Реестр рисков'!$G$22-0.1)&lt;0.001,ABS('Реестр рисков'!$H$22-0.2)&lt;0.001),'Реестр рисков'!$B$22&amp;" ","")&amp;IF(AND(ABS('Реестр рисков'!$G$23-0.1)&lt;0.001,ABS('Реестр рисков'!$H$23-0.2)&lt;0.001),'Реестр рисков'!$B$23&amp;" ",""))</f>
        <v/>
      </c>
      <c r="D13" s="30" t="str">
        <f>TRIM(IF(AND(ABS('Реестр рисков'!$G$5-0.2)&lt;0.001,ABS('Реестр рисков'!$H$5-0.2)&lt;0.001),'Реестр рисков'!$B$5&amp;" ","")&amp;IF(AND(ABS('Реестр рисков'!$G$6-0.2)&lt;0.001,ABS('Реестр рисков'!$H$6-0.2)&lt;0.001),'Реестр рисков'!$B$6&amp;" ","")&amp;IF(AND(ABS('Реестр рисков'!$G$7-0.2)&lt;0.001,ABS('Реестр рисков'!$H$7-0.2)&lt;0.001),'Реестр рисков'!$B$7&amp;" ","")&amp;IF(AND(ABS('Реестр рисков'!$G$8-0.2)&lt;0.001,ABS('Реестр рисков'!$H$8-0.2)&lt;0.001),'Реестр рисков'!$B$8&amp;" ","")&amp;IF(AND(ABS('Реестр рисков'!$G$9-0.2)&lt;0.001,ABS('Реестр рисков'!$H$9-0.2)&lt;0.001),'Реестр рисков'!$B$9&amp;" ","")&amp;IF(AND(ABS('Реестр рисков'!$G$10-0.2)&lt;0.001,ABS('Реестр рисков'!$H$10-0.2)&lt;0.001),'Реестр рисков'!$B$10&amp;" ","")&amp;IF(AND(ABS('Реестр рисков'!$G$11-0.2)&lt;0.001,ABS('Реестр рисков'!$H$11-0.2)&lt;0.001),'Реестр рисков'!$B$11&amp;" ","")&amp;IF(AND(ABS('Реестр рисков'!$G$12-0.2)&lt;0.001,ABS('Реестр рисков'!$H$12-0.2)&lt;0.001),'Реестр рисков'!$B$12&amp;" ","")&amp;IF(AND(ABS('Реестр рисков'!$G$13-0.2)&lt;0.001,ABS('Реестр рисков'!$H$13-0.2)&lt;0.001),'Реестр рисков'!$B$13&amp;" ","")&amp;IF(AND(ABS('Реестр рисков'!$G$14-0.2)&lt;0.001,ABS('Реестр рисков'!$H$14-0.2)&lt;0.001),'Реестр рисков'!$B$14&amp;" ","")&amp;IF(AND(ABS('Реестр рисков'!$G$15-0.2)&lt;0.001,ABS('Реестр рисков'!$H$15-0.2)&lt;0.001),'Реестр рисков'!$B$15&amp;" ","")&amp;IF(AND(ABS('Реестр рисков'!$G$16-0.2)&lt;0.001,ABS('Реестр рисков'!$H$16-0.2)&lt;0.001),'Реестр рисков'!$B$16&amp;" ","")&amp;IF(AND(ABS('Реестр рисков'!$G$17-0.2)&lt;0.001,ABS('Реестр рисков'!$H$17-0.2)&lt;0.001),'Реестр рисков'!$B$17&amp;" ","")&amp;IF(AND(ABS('Реестр рисков'!$G$18-0.2)&lt;0.001,ABS('Реестр рисков'!$H$18-0.2)&lt;0.001),'Реестр рисков'!$B$18&amp;" ","")&amp;IF(AND(ABS('Реестр рисков'!$G$19-0.2)&lt;0.001,ABS('Реестр рисков'!$H$19-0.2)&lt;0.001),'Реестр рисков'!$B$19&amp;" ","")&amp;IF(AND(ABS('Реестр рисков'!$G$20-0.2)&lt;0.001,ABS('Реестр рисков'!$H$20-0.2)&lt;0.001),'Реестр рисков'!$B$20&amp;" ","")&amp;IF(AND(ABS('Реестр рисков'!$G$21-0.2)&lt;0.001,ABS('Реестр рисков'!$H$21-0.2)&lt;0.001),'Реестр рисков'!$B$21&amp;" ","")&amp;IF(AND(ABS('Реестр рисков'!$G$22-0.2)&lt;0.001,ABS('Реестр рисков'!$H$22-0.2)&lt;0.001),'Реестр рисков'!$B$22&amp;" ","")&amp;IF(AND(ABS('Реестр рисков'!$G$23-0.2)&lt;0.001,ABS('Реестр рисков'!$H$23-0.2)&lt;0.001),'Реестр рисков'!$B$23&amp;" ",""))</f>
        <v/>
      </c>
      <c r="E13" s="30" t="str">
        <f>TRIM(IF(AND(ABS('Реестр рисков'!$G$5-0.3)&lt;0.001,ABS('Реестр рисков'!$H$5-0.2)&lt;0.001),'Реестр рисков'!$B$5&amp;" ","")&amp;IF(AND(ABS('Реестр рисков'!$G$6-0.3)&lt;0.001,ABS('Реестр рисков'!$H$6-0.2)&lt;0.001),'Реестр рисков'!$B$6&amp;" ","")&amp;IF(AND(ABS('Реестр рисков'!$G$7-0.3)&lt;0.001,ABS('Реестр рисков'!$H$7-0.2)&lt;0.001),'Реестр рисков'!$B$7&amp;" ","")&amp;IF(AND(ABS('Реестр рисков'!$G$8-0.3)&lt;0.001,ABS('Реестр рисков'!$H$8-0.2)&lt;0.001),'Реестр рисков'!$B$8&amp;" ","")&amp;IF(AND(ABS('Реестр рисков'!$G$9-0.3)&lt;0.001,ABS('Реестр рисков'!$H$9-0.2)&lt;0.001),'Реестр рисков'!$B$9&amp;" ","")&amp;IF(AND(ABS('Реестр рисков'!$G$10-0.3)&lt;0.001,ABS('Реестр рисков'!$H$10-0.2)&lt;0.001),'Реестр рисков'!$B$10&amp;" ","")&amp;IF(AND(ABS('Реестр рисков'!$G$11-0.3)&lt;0.001,ABS('Реестр рисков'!$H$11-0.2)&lt;0.001),'Реестр рисков'!$B$11&amp;" ","")&amp;IF(AND(ABS('Реестр рисков'!$G$12-0.3)&lt;0.001,ABS('Реестр рисков'!$H$12-0.2)&lt;0.001),'Реестр рисков'!$B$12&amp;" ","")&amp;IF(AND(ABS('Реестр рисков'!$G$13-0.3)&lt;0.001,ABS('Реестр рисков'!$H$13-0.2)&lt;0.001),'Реестр рисков'!$B$13&amp;" ","")&amp;IF(AND(ABS('Реестр рисков'!$G$14-0.3)&lt;0.001,ABS('Реестр рисков'!$H$14-0.2)&lt;0.001),'Реестр рисков'!$B$14&amp;" ","")&amp;IF(AND(ABS('Реестр рисков'!$G$15-0.3)&lt;0.001,ABS('Реестр рисков'!$H$15-0.2)&lt;0.001),'Реестр рисков'!$B$15&amp;" ","")&amp;IF(AND(ABS('Реестр рисков'!$G$16-0.3)&lt;0.001,ABS('Реестр рисков'!$H$16-0.2)&lt;0.001),'Реестр рисков'!$B$16&amp;" ","")&amp;IF(AND(ABS('Реестр рисков'!$G$17-0.3)&lt;0.001,ABS('Реестр рисков'!$H$17-0.2)&lt;0.001),'Реестр рисков'!$B$17&amp;" ","")&amp;IF(AND(ABS('Реестр рисков'!$G$18-0.3)&lt;0.001,ABS('Реестр рисков'!$H$18-0.2)&lt;0.001),'Реестр рисков'!$B$18&amp;" ","")&amp;IF(AND(ABS('Реестр рисков'!$G$19-0.3)&lt;0.001,ABS('Реестр рисков'!$H$19-0.2)&lt;0.001),'Реестр рисков'!$B$19&amp;" ","")&amp;IF(AND(ABS('Реестр рисков'!$G$20-0.3)&lt;0.001,ABS('Реестр рисков'!$H$20-0.2)&lt;0.001),'Реестр рисков'!$B$20&amp;" ","")&amp;IF(AND(ABS('Реестр рисков'!$G$21-0.3)&lt;0.001,ABS('Реестр рисков'!$H$21-0.2)&lt;0.001),'Реестр рисков'!$B$21&amp;" ","")&amp;IF(AND(ABS('Реестр рисков'!$G$22-0.3)&lt;0.001,ABS('Реестр рисков'!$H$22-0.2)&lt;0.001),'Реестр рисков'!$B$22&amp;" ","")&amp;IF(AND(ABS('Реестр рисков'!$G$23-0.3)&lt;0.001,ABS('Реестр рисков'!$H$23-0.2)&lt;0.001),'Реестр рисков'!$B$23&amp;" ",""))</f>
        <v/>
      </c>
      <c r="F13" s="30" t="str">
        <f>TRIM(IF(AND(ABS('Реестр рисков'!$G$5-0.4)&lt;0.001,ABS('Реестр рисков'!$H$5-0.2)&lt;0.001),'Реестр рисков'!$B$5&amp;" ","")&amp;IF(AND(ABS('Реестр рисков'!$G$6-0.4)&lt;0.001,ABS('Реестр рисков'!$H$6-0.2)&lt;0.001),'Реестр рисков'!$B$6&amp;" ","")&amp;IF(AND(ABS('Реестр рисков'!$G$7-0.4)&lt;0.001,ABS('Реестр рисков'!$H$7-0.2)&lt;0.001),'Реестр рисков'!$B$7&amp;" ","")&amp;IF(AND(ABS('Реестр рисков'!$G$8-0.4)&lt;0.001,ABS('Реестр рисков'!$H$8-0.2)&lt;0.001),'Реестр рисков'!$B$8&amp;" ","")&amp;IF(AND(ABS('Реестр рисков'!$G$9-0.4)&lt;0.001,ABS('Реестр рисков'!$H$9-0.2)&lt;0.001),'Реестр рисков'!$B$9&amp;" ","")&amp;IF(AND(ABS('Реестр рисков'!$G$10-0.4)&lt;0.001,ABS('Реестр рисков'!$H$10-0.2)&lt;0.001),'Реестр рисков'!$B$10&amp;" ","")&amp;IF(AND(ABS('Реестр рисков'!$G$11-0.4)&lt;0.001,ABS('Реестр рисков'!$H$11-0.2)&lt;0.001),'Реестр рисков'!$B$11&amp;" ","")&amp;IF(AND(ABS('Реестр рисков'!$G$12-0.4)&lt;0.001,ABS('Реестр рисков'!$H$12-0.2)&lt;0.001),'Реестр рисков'!$B$12&amp;" ","")&amp;IF(AND(ABS('Реестр рисков'!$G$13-0.4)&lt;0.001,ABS('Реестр рисков'!$H$13-0.2)&lt;0.001),'Реестр рисков'!$B$13&amp;" ","")&amp;IF(AND(ABS('Реестр рисков'!$G$14-0.4)&lt;0.001,ABS('Реестр рисков'!$H$14-0.2)&lt;0.001),'Реестр рисков'!$B$14&amp;" ","")&amp;IF(AND(ABS('Реестр рисков'!$G$15-0.4)&lt;0.001,ABS('Реестр рисков'!$H$15-0.2)&lt;0.001),'Реестр рисков'!$B$15&amp;" ","")&amp;IF(AND(ABS('Реестр рисков'!$G$16-0.4)&lt;0.001,ABS('Реестр рисков'!$H$16-0.2)&lt;0.001),'Реестр рисков'!$B$16&amp;" ","")&amp;IF(AND(ABS('Реестр рисков'!$G$17-0.4)&lt;0.001,ABS('Реестр рисков'!$H$17-0.2)&lt;0.001),'Реестр рисков'!$B$17&amp;" ","")&amp;IF(AND(ABS('Реестр рисков'!$G$18-0.4)&lt;0.001,ABS('Реестр рисков'!$H$18-0.2)&lt;0.001),'Реестр рисков'!$B$18&amp;" ","")&amp;IF(AND(ABS('Реестр рисков'!$G$19-0.4)&lt;0.001,ABS('Реестр рисков'!$H$19-0.2)&lt;0.001),'Реестр рисков'!$B$19&amp;" ","")&amp;IF(AND(ABS('Реестр рисков'!$G$20-0.4)&lt;0.001,ABS('Реестр рисков'!$H$20-0.2)&lt;0.001),'Реестр рисков'!$B$20&amp;" ","")&amp;IF(AND(ABS('Реестр рисков'!$G$21-0.4)&lt;0.001,ABS('Реестр рисков'!$H$21-0.2)&lt;0.001),'Реестр рисков'!$B$21&amp;" ","")&amp;IF(AND(ABS('Реестр рисков'!$G$22-0.4)&lt;0.001,ABS('Реестр рисков'!$H$22-0.2)&lt;0.001),'Реестр рисков'!$B$22&amp;" ","")&amp;IF(AND(ABS('Реестр рисков'!$G$23-0.4)&lt;0.001,ABS('Реестр рисков'!$H$23-0.2)&lt;0.001),'Реестр рисков'!$B$23&amp;" ",""))</f>
        <v/>
      </c>
      <c r="G13" s="30" t="str">
        <f>TRIM(IF(AND(ABS('Реестр рисков'!$G$5-0.5)&lt;0.001,ABS('Реестр рисков'!$H$5-0.2)&lt;0.001),'Реестр рисков'!$B$5&amp;" ","")&amp;IF(AND(ABS('Реестр рисков'!$G$6-0.5)&lt;0.001,ABS('Реестр рисков'!$H$6-0.2)&lt;0.001),'Реестр рисков'!$B$6&amp;" ","")&amp;IF(AND(ABS('Реестр рисков'!$G$7-0.5)&lt;0.001,ABS('Реестр рисков'!$H$7-0.2)&lt;0.001),'Реестр рисков'!$B$7&amp;" ","")&amp;IF(AND(ABS('Реестр рисков'!$G$8-0.5)&lt;0.001,ABS('Реестр рисков'!$H$8-0.2)&lt;0.001),'Реестр рисков'!$B$8&amp;" ","")&amp;IF(AND(ABS('Реестр рисков'!$G$9-0.5)&lt;0.001,ABS('Реестр рисков'!$H$9-0.2)&lt;0.001),'Реестр рисков'!$B$9&amp;" ","")&amp;IF(AND(ABS('Реестр рисков'!$G$10-0.5)&lt;0.001,ABS('Реестр рисков'!$H$10-0.2)&lt;0.001),'Реестр рисков'!$B$10&amp;" ","")&amp;IF(AND(ABS('Реестр рисков'!$G$11-0.5)&lt;0.001,ABS('Реестр рисков'!$H$11-0.2)&lt;0.001),'Реестр рисков'!$B$11&amp;" ","")&amp;IF(AND(ABS('Реестр рисков'!$G$12-0.5)&lt;0.001,ABS('Реестр рисков'!$H$12-0.2)&lt;0.001),'Реестр рисков'!$B$12&amp;" ","")&amp;IF(AND(ABS('Реестр рисков'!$G$13-0.5)&lt;0.001,ABS('Реестр рисков'!$H$13-0.2)&lt;0.001),'Реестр рисков'!$B$13&amp;" ","")&amp;IF(AND(ABS('Реестр рисков'!$G$14-0.5)&lt;0.001,ABS('Реестр рисков'!$H$14-0.2)&lt;0.001),'Реестр рисков'!$B$14&amp;" ","")&amp;IF(AND(ABS('Реестр рисков'!$G$15-0.5)&lt;0.001,ABS('Реестр рисков'!$H$15-0.2)&lt;0.001),'Реестр рисков'!$B$15&amp;" ","")&amp;IF(AND(ABS('Реестр рисков'!$G$16-0.5)&lt;0.001,ABS('Реестр рисков'!$H$16-0.2)&lt;0.001),'Реестр рисков'!$B$16&amp;" ","")&amp;IF(AND(ABS('Реестр рисков'!$G$17-0.5)&lt;0.001,ABS('Реестр рисков'!$H$17-0.2)&lt;0.001),'Реестр рисков'!$B$17&amp;" ","")&amp;IF(AND(ABS('Реестр рисков'!$G$18-0.5)&lt;0.001,ABS('Реестр рисков'!$H$18-0.2)&lt;0.001),'Реестр рисков'!$B$18&amp;" ","")&amp;IF(AND(ABS('Реестр рисков'!$G$19-0.5)&lt;0.001,ABS('Реестр рисков'!$H$19-0.2)&lt;0.001),'Реестр рисков'!$B$19&amp;" ","")&amp;IF(AND(ABS('Реестр рисков'!$G$20-0.5)&lt;0.001,ABS('Реестр рисков'!$H$20-0.2)&lt;0.001),'Реестр рисков'!$B$20&amp;" ","")&amp;IF(AND(ABS('Реестр рисков'!$G$21-0.5)&lt;0.001,ABS('Реестр рисков'!$H$21-0.2)&lt;0.001),'Реестр рисков'!$B$21&amp;" ","")&amp;IF(AND(ABS('Реестр рисков'!$G$22-0.5)&lt;0.001,ABS('Реестр рисков'!$H$22-0.2)&lt;0.001),'Реестр рисков'!$B$22&amp;" ","")&amp;IF(AND(ABS('Реестр рисков'!$G$23-0.5)&lt;0.001,ABS('Реестр рисков'!$H$23-0.2)&lt;0.001),'Реестр рисков'!$B$23&amp;" ",""))</f>
        <v/>
      </c>
      <c r="H13" s="30" t="str">
        <f>TRIM(IF(AND(ABS('Реестр рисков'!$G$5-0.6)&lt;0.001,ABS('Реестр рисков'!$H$5-0.2)&lt;0.001),'Реестр рисков'!$B$5&amp;" ","")&amp;IF(AND(ABS('Реестр рисков'!$G$6-0.6)&lt;0.001,ABS('Реестр рисков'!$H$6-0.2)&lt;0.001),'Реестр рисков'!$B$6&amp;" ","")&amp;IF(AND(ABS('Реестр рисков'!$G$7-0.6)&lt;0.001,ABS('Реестр рисков'!$H$7-0.2)&lt;0.001),'Реестр рисков'!$B$7&amp;" ","")&amp;IF(AND(ABS('Реестр рисков'!$G$8-0.6)&lt;0.001,ABS('Реестр рисков'!$H$8-0.2)&lt;0.001),'Реестр рисков'!$B$8&amp;" ","")&amp;IF(AND(ABS('Реестр рисков'!$G$9-0.6)&lt;0.001,ABS('Реестр рисков'!$H$9-0.2)&lt;0.001),'Реестр рисков'!$B$9&amp;" ","")&amp;IF(AND(ABS('Реестр рисков'!$G$10-0.6)&lt;0.001,ABS('Реестр рисков'!$H$10-0.2)&lt;0.001),'Реестр рисков'!$B$10&amp;" ","")&amp;IF(AND(ABS('Реестр рисков'!$G$11-0.6)&lt;0.001,ABS('Реестр рисков'!$H$11-0.2)&lt;0.001),'Реестр рисков'!$B$11&amp;" ","")&amp;IF(AND(ABS('Реестр рисков'!$G$12-0.6)&lt;0.001,ABS('Реестр рисков'!$H$12-0.2)&lt;0.001),'Реестр рисков'!$B$12&amp;" ","")&amp;IF(AND(ABS('Реестр рисков'!$G$13-0.6)&lt;0.001,ABS('Реестр рисков'!$H$13-0.2)&lt;0.001),'Реестр рисков'!$B$13&amp;" ","")&amp;IF(AND(ABS('Реестр рисков'!$G$14-0.6)&lt;0.001,ABS('Реестр рисков'!$H$14-0.2)&lt;0.001),'Реестр рисков'!$B$14&amp;" ","")&amp;IF(AND(ABS('Реестр рисков'!$G$15-0.6)&lt;0.001,ABS('Реестр рисков'!$H$15-0.2)&lt;0.001),'Реестр рисков'!$B$15&amp;" ","")&amp;IF(AND(ABS('Реестр рисков'!$G$16-0.6)&lt;0.001,ABS('Реестр рисков'!$H$16-0.2)&lt;0.001),'Реестр рисков'!$B$16&amp;" ","")&amp;IF(AND(ABS('Реестр рисков'!$G$17-0.6)&lt;0.001,ABS('Реестр рисков'!$H$17-0.2)&lt;0.001),'Реестр рисков'!$B$17&amp;" ","")&amp;IF(AND(ABS('Реестр рисков'!$G$18-0.6)&lt;0.001,ABS('Реестр рисков'!$H$18-0.2)&lt;0.001),'Реестр рисков'!$B$18&amp;" ","")&amp;IF(AND(ABS('Реестр рисков'!$G$19-0.6)&lt;0.001,ABS('Реестр рисков'!$H$19-0.2)&lt;0.001),'Реестр рисков'!$B$19&amp;" ","")&amp;IF(AND(ABS('Реестр рисков'!$G$20-0.6)&lt;0.001,ABS('Реестр рисков'!$H$20-0.2)&lt;0.001),'Реестр рисков'!$B$20&amp;" ","")&amp;IF(AND(ABS('Реестр рисков'!$G$21-0.6)&lt;0.001,ABS('Реестр рисков'!$H$21-0.2)&lt;0.001),'Реестр рисков'!$B$21&amp;" ","")&amp;IF(AND(ABS('Реестр рисков'!$G$22-0.6)&lt;0.001,ABS('Реестр рисков'!$H$22-0.2)&lt;0.001),'Реестр рисков'!$B$22&amp;" ","")&amp;IF(AND(ABS('Реестр рисков'!$G$23-0.6)&lt;0.001,ABS('Реестр рисков'!$H$23-0.2)&lt;0.001),'Реестр рисков'!$B$23&amp;" ",""))</f>
        <v/>
      </c>
      <c r="I13" s="31" t="str">
        <f>TRIM(IF(AND(ABS('Реестр рисков'!$G$5-0.7)&lt;0.001,ABS('Реестр рисков'!$H$5-0.2)&lt;0.001),'Реестр рисков'!$B$5&amp;" ","")&amp;IF(AND(ABS('Реестр рисков'!$G$6-0.7)&lt;0.001,ABS('Реестр рисков'!$H$6-0.2)&lt;0.001),'Реестр рисков'!$B$6&amp;" ","")&amp;IF(AND(ABS('Реестр рисков'!$G$7-0.7)&lt;0.001,ABS('Реестр рисков'!$H$7-0.2)&lt;0.001),'Реестр рисков'!$B$7&amp;" ","")&amp;IF(AND(ABS('Реестр рисков'!$G$8-0.7)&lt;0.001,ABS('Реестр рисков'!$H$8-0.2)&lt;0.001),'Реестр рисков'!$B$8&amp;" ","")&amp;IF(AND(ABS('Реестр рисков'!$G$9-0.7)&lt;0.001,ABS('Реестр рисков'!$H$9-0.2)&lt;0.001),'Реестр рисков'!$B$9&amp;" ","")&amp;IF(AND(ABS('Реестр рисков'!$G$10-0.7)&lt;0.001,ABS('Реестр рисков'!$H$10-0.2)&lt;0.001),'Реестр рисков'!$B$10&amp;" ","")&amp;IF(AND(ABS('Реестр рисков'!$G$11-0.7)&lt;0.001,ABS('Реестр рисков'!$H$11-0.2)&lt;0.001),'Реестр рисков'!$B$11&amp;" ","")&amp;IF(AND(ABS('Реестр рисков'!$G$12-0.7)&lt;0.001,ABS('Реестр рисков'!$H$12-0.2)&lt;0.001),'Реестр рисков'!$B$12&amp;" ","")&amp;IF(AND(ABS('Реестр рисков'!$G$13-0.7)&lt;0.001,ABS('Реестр рисков'!$H$13-0.2)&lt;0.001),'Реестр рисков'!$B$13&amp;" ","")&amp;IF(AND(ABS('Реестр рисков'!$G$14-0.7)&lt;0.001,ABS('Реестр рисков'!$H$14-0.2)&lt;0.001),'Реестр рисков'!$B$14&amp;" ","")&amp;IF(AND(ABS('Реестр рисков'!$G$15-0.7)&lt;0.001,ABS('Реестр рисков'!$H$15-0.2)&lt;0.001),'Реестр рисков'!$B$15&amp;" ","")&amp;IF(AND(ABS('Реестр рисков'!$G$16-0.7)&lt;0.001,ABS('Реестр рисков'!$H$16-0.2)&lt;0.001),'Реестр рисков'!$B$16&amp;" ","")&amp;IF(AND(ABS('Реестр рисков'!$G$17-0.7)&lt;0.001,ABS('Реестр рисков'!$H$17-0.2)&lt;0.001),'Реестр рисков'!$B$17&amp;" ","")&amp;IF(AND(ABS('Реестр рисков'!$G$18-0.7)&lt;0.001,ABS('Реестр рисков'!$H$18-0.2)&lt;0.001),'Реестр рисков'!$B$18&amp;" ","")&amp;IF(AND(ABS('Реестр рисков'!$G$19-0.7)&lt;0.001,ABS('Реестр рисков'!$H$19-0.2)&lt;0.001),'Реестр рисков'!$B$19&amp;" ","")&amp;IF(AND(ABS('Реестр рисков'!$G$20-0.7)&lt;0.001,ABS('Реестр рисков'!$H$20-0.2)&lt;0.001),'Реестр рисков'!$B$20&amp;" ","")&amp;IF(AND(ABS('Реестр рисков'!$G$21-0.7)&lt;0.001,ABS('Реестр рисков'!$H$21-0.2)&lt;0.001),'Реестр рисков'!$B$21&amp;" ","")&amp;IF(AND(ABS('Реестр рисков'!$G$22-0.7)&lt;0.001,ABS('Реестр рисков'!$H$22-0.2)&lt;0.001),'Реестр рисков'!$B$22&amp;" ","")&amp;IF(AND(ABS('Реестр рисков'!$G$23-0.7)&lt;0.001,ABS('Реестр рисков'!$H$23-0.2)&lt;0.001),'Реестр рисков'!$B$23&amp;" ",""))</f>
        <v/>
      </c>
      <c r="J13" s="31" t="str">
        <f>TRIM(IF(AND(ABS('Реестр рисков'!$G$5-0.8)&lt;0.001,ABS('Реестр рисков'!$H$5-0.2)&lt;0.001),'Реестр рисков'!$B$5&amp;" ","")&amp;IF(AND(ABS('Реестр рисков'!$G$6-0.8)&lt;0.001,ABS('Реестр рисков'!$H$6-0.2)&lt;0.001),'Реестр рисков'!$B$6&amp;" ","")&amp;IF(AND(ABS('Реестр рисков'!$G$7-0.8)&lt;0.001,ABS('Реестр рисков'!$H$7-0.2)&lt;0.001),'Реестр рисков'!$B$7&amp;" ","")&amp;IF(AND(ABS('Реестр рисков'!$G$8-0.8)&lt;0.001,ABS('Реестр рисков'!$H$8-0.2)&lt;0.001),'Реестр рисков'!$B$8&amp;" ","")&amp;IF(AND(ABS('Реестр рисков'!$G$9-0.8)&lt;0.001,ABS('Реестр рисков'!$H$9-0.2)&lt;0.001),'Реестр рисков'!$B$9&amp;" ","")&amp;IF(AND(ABS('Реестр рисков'!$G$10-0.8)&lt;0.001,ABS('Реестр рисков'!$H$10-0.2)&lt;0.001),'Реестр рисков'!$B$10&amp;" ","")&amp;IF(AND(ABS('Реестр рисков'!$G$11-0.8)&lt;0.001,ABS('Реестр рисков'!$H$11-0.2)&lt;0.001),'Реестр рисков'!$B$11&amp;" ","")&amp;IF(AND(ABS('Реестр рисков'!$G$12-0.8)&lt;0.001,ABS('Реестр рисков'!$H$12-0.2)&lt;0.001),'Реестр рисков'!$B$12&amp;" ","")&amp;IF(AND(ABS('Реестр рисков'!$G$13-0.8)&lt;0.001,ABS('Реестр рисков'!$H$13-0.2)&lt;0.001),'Реестр рисков'!$B$13&amp;" ","")&amp;IF(AND(ABS('Реестр рисков'!$G$14-0.8)&lt;0.001,ABS('Реестр рисков'!$H$14-0.2)&lt;0.001),'Реестр рисков'!$B$14&amp;" ","")&amp;IF(AND(ABS('Реестр рисков'!$G$15-0.8)&lt;0.001,ABS('Реестр рисков'!$H$15-0.2)&lt;0.001),'Реестр рисков'!$B$15&amp;" ","")&amp;IF(AND(ABS('Реестр рисков'!$G$16-0.8)&lt;0.001,ABS('Реестр рисков'!$H$16-0.2)&lt;0.001),'Реестр рисков'!$B$16&amp;" ","")&amp;IF(AND(ABS('Реестр рисков'!$G$17-0.8)&lt;0.001,ABS('Реестр рисков'!$H$17-0.2)&lt;0.001),'Реестр рисков'!$B$17&amp;" ","")&amp;IF(AND(ABS('Реестр рисков'!$G$18-0.8)&lt;0.001,ABS('Реестр рисков'!$H$18-0.2)&lt;0.001),'Реестр рисков'!$B$18&amp;" ","")&amp;IF(AND(ABS('Реестр рисков'!$G$19-0.8)&lt;0.001,ABS('Реестр рисков'!$H$19-0.2)&lt;0.001),'Реестр рисков'!$B$19&amp;" ","")&amp;IF(AND(ABS('Реестр рисков'!$G$20-0.8)&lt;0.001,ABS('Реестр рисков'!$H$20-0.2)&lt;0.001),'Реестр рисков'!$B$20&amp;" ","")&amp;IF(AND(ABS('Реестр рисков'!$G$21-0.8)&lt;0.001,ABS('Реестр рисков'!$H$21-0.2)&lt;0.001),'Реестр рисков'!$B$21&amp;" ","")&amp;IF(AND(ABS('Реестр рисков'!$G$22-0.8)&lt;0.001,ABS('Реестр рисков'!$H$22-0.2)&lt;0.001),'Реестр рисков'!$B$22&amp;" ","")&amp;IF(AND(ABS('Реестр рисков'!$G$23-0.8)&lt;0.001,ABS('Реестр рисков'!$H$23-0.2)&lt;0.001),'Реестр рисков'!$B$23&amp;" ",""))</f>
        <v/>
      </c>
      <c r="K13" s="31" t="str">
        <f>TRIM(IF(AND(ABS('Реестр рисков'!$G$5-0.9)&lt;0.001,ABS('Реестр рисков'!$H$5-0.2)&lt;0.001),'Реестр рисков'!$B$5&amp;" ","")&amp;IF(AND(ABS('Реестр рисков'!$G$6-0.9)&lt;0.001,ABS('Реестр рисков'!$H$6-0.2)&lt;0.001),'Реестр рисков'!$B$6&amp;" ","")&amp;IF(AND(ABS('Реестр рисков'!$G$7-0.9)&lt;0.001,ABS('Реестр рисков'!$H$7-0.2)&lt;0.001),'Реестр рисков'!$B$7&amp;" ","")&amp;IF(AND(ABS('Реестр рисков'!$G$8-0.9)&lt;0.001,ABS('Реестр рисков'!$H$8-0.2)&lt;0.001),'Реестр рисков'!$B$8&amp;" ","")&amp;IF(AND(ABS('Реестр рисков'!$G$9-0.9)&lt;0.001,ABS('Реестр рисков'!$H$9-0.2)&lt;0.001),'Реестр рисков'!$B$9&amp;" ","")&amp;IF(AND(ABS('Реестр рисков'!$G$10-0.9)&lt;0.001,ABS('Реестр рисков'!$H$10-0.2)&lt;0.001),'Реестр рисков'!$B$10&amp;" ","")&amp;IF(AND(ABS('Реестр рисков'!$G$11-0.9)&lt;0.001,ABS('Реестр рисков'!$H$11-0.2)&lt;0.001),'Реестр рисков'!$B$11&amp;" ","")&amp;IF(AND(ABS('Реестр рисков'!$G$12-0.9)&lt;0.001,ABS('Реестр рисков'!$H$12-0.2)&lt;0.001),'Реестр рисков'!$B$12&amp;" ","")&amp;IF(AND(ABS('Реестр рисков'!$G$13-0.9)&lt;0.001,ABS('Реестр рисков'!$H$13-0.2)&lt;0.001),'Реестр рисков'!$B$13&amp;" ","")&amp;IF(AND(ABS('Реестр рисков'!$G$14-0.9)&lt;0.001,ABS('Реестр рисков'!$H$14-0.2)&lt;0.001),'Реестр рисков'!$B$14&amp;" ","")&amp;IF(AND(ABS('Реестр рисков'!$G$15-0.9)&lt;0.001,ABS('Реестр рисков'!$H$15-0.2)&lt;0.001),'Реестр рисков'!$B$15&amp;" ","")&amp;IF(AND(ABS('Реестр рисков'!$G$16-0.9)&lt;0.001,ABS('Реестр рисков'!$H$16-0.2)&lt;0.001),'Реестр рисков'!$B$16&amp;" ","")&amp;IF(AND(ABS('Реестр рисков'!$G$17-0.9)&lt;0.001,ABS('Реестр рисков'!$H$17-0.2)&lt;0.001),'Реестр рисков'!$B$17&amp;" ","")&amp;IF(AND(ABS('Реестр рисков'!$G$18-0.9)&lt;0.001,ABS('Реестр рисков'!$H$18-0.2)&lt;0.001),'Реестр рисков'!$B$18&amp;" ","")&amp;IF(AND(ABS('Реестр рисков'!$G$19-0.9)&lt;0.001,ABS('Реестр рисков'!$H$19-0.2)&lt;0.001),'Реестр рисков'!$B$19&amp;" ","")&amp;IF(AND(ABS('Реестр рисков'!$G$20-0.9)&lt;0.001,ABS('Реестр рисков'!$H$20-0.2)&lt;0.001),'Реестр рисков'!$B$20&amp;" ","")&amp;IF(AND(ABS('Реестр рисков'!$G$21-0.9)&lt;0.001,ABS('Реестр рисков'!$H$21-0.2)&lt;0.001),'Реестр рисков'!$B$21&amp;" ","")&amp;IF(AND(ABS('Реестр рисков'!$G$22-0.9)&lt;0.001,ABS('Реестр рисков'!$H$22-0.2)&lt;0.001),'Реестр рисков'!$B$22&amp;" ","")&amp;IF(AND(ABS('Реестр рисков'!$G$23-0.9)&lt;0.001,ABS('Реестр рисков'!$H$23-0.2)&lt;0.001),'Реестр рисков'!$B$23&amp;" ",""))</f>
        <v/>
      </c>
      <c r="L13" s="31" t="str">
        <f>TRIM(IF(AND(ABS('Реестр рисков'!$G$5-1)&lt;0.001,ABS('Реестр рисков'!$H$5-0.2)&lt;0.001),'Реестр рисков'!$B$5&amp;" ","")&amp;IF(AND(ABS('Реестр рисков'!$G$6-1)&lt;0.001,ABS('Реестр рисков'!$H$6-0.2)&lt;0.001),'Реестр рисков'!$B$6&amp;" ","")&amp;IF(AND(ABS('Реестр рисков'!$G$7-1)&lt;0.001,ABS('Реестр рисков'!$H$7-0.2)&lt;0.001),'Реестр рисков'!$B$7&amp;" ","")&amp;IF(AND(ABS('Реестр рисков'!$G$8-1)&lt;0.001,ABS('Реестр рисков'!$H$8-0.2)&lt;0.001),'Реестр рисков'!$B$8&amp;" ","")&amp;IF(AND(ABS('Реестр рисков'!$G$9-1)&lt;0.001,ABS('Реестр рисков'!$H$9-0.2)&lt;0.001),'Реестр рисков'!$B$9&amp;" ","")&amp;IF(AND(ABS('Реестр рисков'!$G$10-1)&lt;0.001,ABS('Реестр рисков'!$H$10-0.2)&lt;0.001),'Реестр рисков'!$B$10&amp;" ","")&amp;IF(AND(ABS('Реестр рисков'!$G$11-1)&lt;0.001,ABS('Реестр рисков'!$H$11-0.2)&lt;0.001),'Реестр рисков'!$B$11&amp;" ","")&amp;IF(AND(ABS('Реестр рисков'!$G$12-1)&lt;0.001,ABS('Реестр рисков'!$H$12-0.2)&lt;0.001),'Реестр рисков'!$B$12&amp;" ","")&amp;IF(AND(ABS('Реестр рисков'!$G$13-1)&lt;0.001,ABS('Реестр рисков'!$H$13-0.2)&lt;0.001),'Реестр рисков'!$B$13&amp;" ","")&amp;IF(AND(ABS('Реестр рисков'!$G$14-1)&lt;0.001,ABS('Реестр рисков'!$H$14-0.2)&lt;0.001),'Реестр рисков'!$B$14&amp;" ","")&amp;IF(AND(ABS('Реестр рисков'!$G$15-1)&lt;0.001,ABS('Реестр рисков'!$H$15-0.2)&lt;0.001),'Реестр рисков'!$B$15&amp;" ","")&amp;IF(AND(ABS('Реестр рисков'!$G$16-1)&lt;0.001,ABS('Реестр рисков'!$H$16-0.2)&lt;0.001),'Реестр рисков'!$B$16&amp;" ","")&amp;IF(AND(ABS('Реестр рисков'!$G$17-1)&lt;0.001,ABS('Реестр рисков'!$H$17-0.2)&lt;0.001),'Реестр рисков'!$B$17&amp;" ","")&amp;IF(AND(ABS('Реестр рисков'!$G$18-1)&lt;0.001,ABS('Реестр рисков'!$H$18-0.2)&lt;0.001),'Реестр рисков'!$B$18&amp;" ","")&amp;IF(AND(ABS('Реестр рисков'!$G$19-1)&lt;0.001,ABS('Реестр рисков'!$H$19-0.2)&lt;0.001),'Реестр рисков'!$B$19&amp;" ","")&amp;IF(AND(ABS('Реестр рисков'!$G$20-1)&lt;0.001,ABS('Реестр рисков'!$H$20-0.2)&lt;0.001),'Реестр рисков'!$B$20&amp;" ","")&amp;IF(AND(ABS('Реестр рисков'!$G$21-1)&lt;0.001,ABS('Реестр рисков'!$H$21-0.2)&lt;0.001),'Реестр рисков'!$B$21&amp;" ","")&amp;IF(AND(ABS('Реестр рисков'!$G$22-1)&lt;0.001,ABS('Реестр рисков'!$H$22-0.2)&lt;0.001),'Реестр рисков'!$B$22&amp;" ","")&amp;IF(AND(ABS('Реестр рисков'!$G$23-1)&lt;0.001,ABS('Реестр рисков'!$H$23-0.2)&lt;0.001),'Реестр рисков'!$B$23&amp;" ",""))</f>
        <v/>
      </c>
    </row>
    <row r="14" spans="1:12" ht="30" customHeight="1" x14ac:dyDescent="0.45">
      <c r="A14" s="5"/>
      <c r="B14" s="29">
        <v>0.1</v>
      </c>
      <c r="C14" s="30" t="str">
        <f>TRIM(IF(AND(ABS('Реестр рисков'!$G$5-0.1)&lt;0.001,ABS('Реестр рисков'!$H$5-0.1)&lt;0.001),'Реестр рисков'!$B$5&amp;" ","")&amp;IF(AND(ABS('Реестр рисков'!$G$6-0.1)&lt;0.001,ABS('Реестр рисков'!$H$6-0.1)&lt;0.001),'Реестр рисков'!$B$6&amp;" ","")&amp;IF(AND(ABS('Реестр рисков'!$G$7-0.1)&lt;0.001,ABS('Реестр рисков'!$H$7-0.1)&lt;0.001),'Реестр рисков'!$B$7&amp;" ","")&amp;IF(AND(ABS('Реестр рисков'!$G$8-0.1)&lt;0.001,ABS('Реестр рисков'!$H$8-0.1)&lt;0.001),'Реестр рисков'!$B$8&amp;" ","")&amp;IF(AND(ABS('Реестр рисков'!$G$9-0.1)&lt;0.001,ABS('Реестр рисков'!$H$9-0.1)&lt;0.001),'Реестр рисков'!$B$9&amp;" ","")&amp;IF(AND(ABS('Реестр рисков'!$G$10-0.1)&lt;0.001,ABS('Реестр рисков'!$H$10-0.1)&lt;0.001),'Реестр рисков'!$B$10&amp;" ","")&amp;IF(AND(ABS('Реестр рисков'!$G$11-0.1)&lt;0.001,ABS('Реестр рисков'!$H$11-0.1)&lt;0.001),'Реестр рисков'!$B$11&amp;" ","")&amp;IF(AND(ABS('Реестр рисков'!$G$12-0.1)&lt;0.001,ABS('Реестр рисков'!$H$12-0.1)&lt;0.001),'Реестр рисков'!$B$12&amp;" ","")&amp;IF(AND(ABS('Реестр рисков'!$G$13-0.1)&lt;0.001,ABS('Реестр рисков'!$H$13-0.1)&lt;0.001),'Реестр рисков'!$B$13&amp;" ","")&amp;IF(AND(ABS('Реестр рисков'!$G$14-0.1)&lt;0.001,ABS('Реестр рисков'!$H$14-0.1)&lt;0.001),'Реестр рисков'!$B$14&amp;" ","")&amp;IF(AND(ABS('Реестр рисков'!$G$15-0.1)&lt;0.001,ABS('Реестр рисков'!$H$15-0.1)&lt;0.001),'Реестр рисков'!$B$15&amp;" ","")&amp;IF(AND(ABS('Реестр рисков'!$G$16-0.1)&lt;0.001,ABS('Реестр рисков'!$H$16-0.1)&lt;0.001),'Реестр рисков'!$B$16&amp;" ","")&amp;IF(AND(ABS('Реестр рисков'!$G$17-0.1)&lt;0.001,ABS('Реестр рисков'!$H$17-0.1)&lt;0.001),'Реестр рисков'!$B$17&amp;" ","")&amp;IF(AND(ABS('Реестр рисков'!$G$18-0.1)&lt;0.001,ABS('Реестр рисков'!$H$18-0.1)&lt;0.001),'Реестр рисков'!$B$18&amp;" ","")&amp;IF(AND(ABS('Реестр рисков'!$G$19-0.1)&lt;0.001,ABS('Реестр рисков'!$H$19-0.1)&lt;0.001),'Реестр рисков'!$B$19&amp;" ","")&amp;IF(AND(ABS('Реестр рисков'!$G$20-0.1)&lt;0.001,ABS('Реестр рисков'!$H$20-0.1)&lt;0.001),'Реестр рисков'!$B$20&amp;" ","")&amp;IF(AND(ABS('Реестр рисков'!$G$21-0.1)&lt;0.001,ABS('Реестр рисков'!$H$21-0.1)&lt;0.001),'Реестр рисков'!$B$21&amp;" ","")&amp;IF(AND(ABS('Реестр рисков'!$G$22-0.1)&lt;0.001,ABS('Реестр рисков'!$H$22-0.1)&lt;0.001),'Реестр рисков'!$B$22&amp;" ","")&amp;IF(AND(ABS('Реестр рисков'!$G$23-0.1)&lt;0.001,ABS('Реестр рисков'!$H$23-0.1)&lt;0.001),'Реестр рисков'!$B$23&amp;" ",""))</f>
        <v/>
      </c>
      <c r="D14" s="30" t="str">
        <f>TRIM(IF(AND(ABS('Реестр рисков'!$G$5-0.2)&lt;0.001,ABS('Реестр рисков'!$H$5-0.1)&lt;0.001),'Реестр рисков'!$B$5&amp;" ","")&amp;IF(AND(ABS('Реестр рисков'!$G$6-0.2)&lt;0.001,ABS('Реестр рисков'!$H$6-0.1)&lt;0.001),'Реестр рисков'!$B$6&amp;" ","")&amp;IF(AND(ABS('Реестр рисков'!$G$7-0.2)&lt;0.001,ABS('Реестр рисков'!$H$7-0.1)&lt;0.001),'Реестр рисков'!$B$7&amp;" ","")&amp;IF(AND(ABS('Реестр рисков'!$G$8-0.2)&lt;0.001,ABS('Реестр рисков'!$H$8-0.1)&lt;0.001),'Реестр рисков'!$B$8&amp;" ","")&amp;IF(AND(ABS('Реестр рисков'!$G$9-0.2)&lt;0.001,ABS('Реестр рисков'!$H$9-0.1)&lt;0.001),'Реестр рисков'!$B$9&amp;" ","")&amp;IF(AND(ABS('Реестр рисков'!$G$10-0.2)&lt;0.001,ABS('Реестр рисков'!$H$10-0.1)&lt;0.001),'Реестр рисков'!$B$10&amp;" ","")&amp;IF(AND(ABS('Реестр рисков'!$G$11-0.2)&lt;0.001,ABS('Реестр рисков'!$H$11-0.1)&lt;0.001),'Реестр рисков'!$B$11&amp;" ","")&amp;IF(AND(ABS('Реестр рисков'!$G$12-0.2)&lt;0.001,ABS('Реестр рисков'!$H$12-0.1)&lt;0.001),'Реестр рисков'!$B$12&amp;" ","")&amp;IF(AND(ABS('Реестр рисков'!$G$13-0.2)&lt;0.001,ABS('Реестр рисков'!$H$13-0.1)&lt;0.001),'Реестр рисков'!$B$13&amp;" ","")&amp;IF(AND(ABS('Реестр рисков'!$G$14-0.2)&lt;0.001,ABS('Реестр рисков'!$H$14-0.1)&lt;0.001),'Реестр рисков'!$B$14&amp;" ","")&amp;IF(AND(ABS('Реестр рисков'!$G$15-0.2)&lt;0.001,ABS('Реестр рисков'!$H$15-0.1)&lt;0.001),'Реестр рисков'!$B$15&amp;" ","")&amp;IF(AND(ABS('Реестр рисков'!$G$16-0.2)&lt;0.001,ABS('Реестр рисков'!$H$16-0.1)&lt;0.001),'Реестр рисков'!$B$16&amp;" ","")&amp;IF(AND(ABS('Реестр рисков'!$G$17-0.2)&lt;0.001,ABS('Реестр рисков'!$H$17-0.1)&lt;0.001),'Реестр рисков'!$B$17&amp;" ","")&amp;IF(AND(ABS('Реестр рисков'!$G$18-0.2)&lt;0.001,ABS('Реестр рисков'!$H$18-0.1)&lt;0.001),'Реестр рисков'!$B$18&amp;" ","")&amp;IF(AND(ABS('Реестр рисков'!$G$19-0.2)&lt;0.001,ABS('Реестр рисков'!$H$19-0.1)&lt;0.001),'Реестр рисков'!$B$19&amp;" ","")&amp;IF(AND(ABS('Реестр рисков'!$G$20-0.2)&lt;0.001,ABS('Реестр рисков'!$H$20-0.1)&lt;0.001),'Реестр рисков'!$B$20&amp;" ","")&amp;IF(AND(ABS('Реестр рисков'!$G$21-0.2)&lt;0.001,ABS('Реестр рисков'!$H$21-0.1)&lt;0.001),'Реестр рисков'!$B$21&amp;" ","")&amp;IF(AND(ABS('Реестр рисков'!$G$22-0.2)&lt;0.001,ABS('Реестр рисков'!$H$22-0.1)&lt;0.001),'Реестр рисков'!$B$22&amp;" ","")&amp;IF(AND(ABS('Реестр рисков'!$G$23-0.2)&lt;0.001,ABS('Реестр рисков'!$H$23-0.1)&lt;0.001),'Реестр рисков'!$B$23&amp;" ",""))</f>
        <v/>
      </c>
      <c r="E14" s="30" t="str">
        <f>TRIM(IF(AND(ABS('Реестр рисков'!$G$5-0.3)&lt;0.001,ABS('Реестр рисков'!$H$5-0.1)&lt;0.001),'Реестр рисков'!$B$5&amp;" ","")&amp;IF(AND(ABS('Реестр рисков'!$G$6-0.3)&lt;0.001,ABS('Реестр рисков'!$H$6-0.1)&lt;0.001),'Реестр рисков'!$B$6&amp;" ","")&amp;IF(AND(ABS('Реестр рисков'!$G$7-0.3)&lt;0.001,ABS('Реестр рисков'!$H$7-0.1)&lt;0.001),'Реестр рисков'!$B$7&amp;" ","")&amp;IF(AND(ABS('Реестр рисков'!$G$8-0.3)&lt;0.001,ABS('Реестр рисков'!$H$8-0.1)&lt;0.001),'Реестр рисков'!$B$8&amp;" ","")&amp;IF(AND(ABS('Реестр рисков'!$G$9-0.3)&lt;0.001,ABS('Реестр рисков'!$H$9-0.1)&lt;0.001),'Реестр рисков'!$B$9&amp;" ","")&amp;IF(AND(ABS('Реестр рисков'!$G$10-0.3)&lt;0.001,ABS('Реестр рисков'!$H$10-0.1)&lt;0.001),'Реестр рисков'!$B$10&amp;" ","")&amp;IF(AND(ABS('Реестр рисков'!$G$11-0.3)&lt;0.001,ABS('Реестр рисков'!$H$11-0.1)&lt;0.001),'Реестр рисков'!$B$11&amp;" ","")&amp;IF(AND(ABS('Реестр рисков'!$G$12-0.3)&lt;0.001,ABS('Реестр рисков'!$H$12-0.1)&lt;0.001),'Реестр рисков'!$B$12&amp;" ","")&amp;IF(AND(ABS('Реестр рисков'!$G$13-0.3)&lt;0.001,ABS('Реестр рисков'!$H$13-0.1)&lt;0.001),'Реестр рисков'!$B$13&amp;" ","")&amp;IF(AND(ABS('Реестр рисков'!$G$14-0.3)&lt;0.001,ABS('Реестр рисков'!$H$14-0.1)&lt;0.001),'Реестр рисков'!$B$14&amp;" ","")&amp;IF(AND(ABS('Реестр рисков'!$G$15-0.3)&lt;0.001,ABS('Реестр рисков'!$H$15-0.1)&lt;0.001),'Реестр рисков'!$B$15&amp;" ","")&amp;IF(AND(ABS('Реестр рисков'!$G$16-0.3)&lt;0.001,ABS('Реестр рисков'!$H$16-0.1)&lt;0.001),'Реестр рисков'!$B$16&amp;" ","")&amp;IF(AND(ABS('Реестр рисков'!$G$17-0.3)&lt;0.001,ABS('Реестр рисков'!$H$17-0.1)&lt;0.001),'Реестр рисков'!$B$17&amp;" ","")&amp;IF(AND(ABS('Реестр рисков'!$G$18-0.3)&lt;0.001,ABS('Реестр рисков'!$H$18-0.1)&lt;0.001),'Реестр рисков'!$B$18&amp;" ","")&amp;IF(AND(ABS('Реестр рисков'!$G$19-0.3)&lt;0.001,ABS('Реестр рисков'!$H$19-0.1)&lt;0.001),'Реестр рисков'!$B$19&amp;" ","")&amp;IF(AND(ABS('Реестр рисков'!$G$20-0.3)&lt;0.001,ABS('Реестр рисков'!$H$20-0.1)&lt;0.001),'Реестр рисков'!$B$20&amp;" ","")&amp;IF(AND(ABS('Реестр рисков'!$G$21-0.3)&lt;0.001,ABS('Реестр рисков'!$H$21-0.1)&lt;0.001),'Реестр рисков'!$B$21&amp;" ","")&amp;IF(AND(ABS('Реестр рисков'!$G$22-0.3)&lt;0.001,ABS('Реестр рисков'!$H$22-0.1)&lt;0.001),'Реестр рисков'!$B$22&amp;" ","")&amp;IF(AND(ABS('Реестр рисков'!$G$23-0.3)&lt;0.001,ABS('Реестр рисков'!$H$23-0.1)&lt;0.001),'Реестр рисков'!$B$23&amp;" ",""))</f>
        <v/>
      </c>
      <c r="F14" s="30" t="str">
        <f>TRIM(IF(AND(ABS('Реестр рисков'!$G$5-0.4)&lt;0.001,ABS('Реестр рисков'!$H$5-0.1)&lt;0.001),'Реестр рисков'!$B$5&amp;" ","")&amp;IF(AND(ABS('Реестр рисков'!$G$6-0.4)&lt;0.001,ABS('Реестр рисков'!$H$6-0.1)&lt;0.001),'Реестр рисков'!$B$6&amp;" ","")&amp;IF(AND(ABS('Реестр рисков'!$G$7-0.4)&lt;0.001,ABS('Реестр рисков'!$H$7-0.1)&lt;0.001),'Реестр рисков'!$B$7&amp;" ","")&amp;IF(AND(ABS('Реестр рисков'!$G$8-0.4)&lt;0.001,ABS('Реестр рисков'!$H$8-0.1)&lt;0.001),'Реестр рисков'!$B$8&amp;" ","")&amp;IF(AND(ABS('Реестр рисков'!$G$9-0.4)&lt;0.001,ABS('Реестр рисков'!$H$9-0.1)&lt;0.001),'Реестр рисков'!$B$9&amp;" ","")&amp;IF(AND(ABS('Реестр рисков'!$G$10-0.4)&lt;0.001,ABS('Реестр рисков'!$H$10-0.1)&lt;0.001),'Реестр рисков'!$B$10&amp;" ","")&amp;IF(AND(ABS('Реестр рисков'!$G$11-0.4)&lt;0.001,ABS('Реестр рисков'!$H$11-0.1)&lt;0.001),'Реестр рисков'!$B$11&amp;" ","")&amp;IF(AND(ABS('Реестр рисков'!$G$12-0.4)&lt;0.001,ABS('Реестр рисков'!$H$12-0.1)&lt;0.001),'Реестр рисков'!$B$12&amp;" ","")&amp;IF(AND(ABS('Реестр рисков'!$G$13-0.4)&lt;0.001,ABS('Реестр рисков'!$H$13-0.1)&lt;0.001),'Реестр рисков'!$B$13&amp;" ","")&amp;IF(AND(ABS('Реестр рисков'!$G$14-0.4)&lt;0.001,ABS('Реестр рисков'!$H$14-0.1)&lt;0.001),'Реестр рисков'!$B$14&amp;" ","")&amp;IF(AND(ABS('Реестр рисков'!$G$15-0.4)&lt;0.001,ABS('Реестр рисков'!$H$15-0.1)&lt;0.001),'Реестр рисков'!$B$15&amp;" ","")&amp;IF(AND(ABS('Реестр рисков'!$G$16-0.4)&lt;0.001,ABS('Реестр рисков'!$H$16-0.1)&lt;0.001),'Реестр рисков'!$B$16&amp;" ","")&amp;IF(AND(ABS('Реестр рисков'!$G$17-0.4)&lt;0.001,ABS('Реестр рисков'!$H$17-0.1)&lt;0.001),'Реестр рисков'!$B$17&amp;" ","")&amp;IF(AND(ABS('Реестр рисков'!$G$18-0.4)&lt;0.001,ABS('Реестр рисков'!$H$18-0.1)&lt;0.001),'Реестр рисков'!$B$18&amp;" ","")&amp;IF(AND(ABS('Реестр рисков'!$G$19-0.4)&lt;0.001,ABS('Реестр рисков'!$H$19-0.1)&lt;0.001),'Реестр рисков'!$B$19&amp;" ","")&amp;IF(AND(ABS('Реестр рисков'!$G$20-0.4)&lt;0.001,ABS('Реестр рисков'!$H$20-0.1)&lt;0.001),'Реестр рисков'!$B$20&amp;" ","")&amp;IF(AND(ABS('Реестр рисков'!$G$21-0.4)&lt;0.001,ABS('Реестр рисков'!$H$21-0.1)&lt;0.001),'Реестр рисков'!$B$21&amp;" ","")&amp;IF(AND(ABS('Реестр рисков'!$G$22-0.4)&lt;0.001,ABS('Реестр рисков'!$H$22-0.1)&lt;0.001),'Реестр рисков'!$B$22&amp;" ","")&amp;IF(AND(ABS('Реестр рисков'!$G$23-0.4)&lt;0.001,ABS('Реестр рисков'!$H$23-0.1)&lt;0.001),'Реестр рисков'!$B$23&amp;" ",""))</f>
        <v/>
      </c>
      <c r="G14" s="30" t="str">
        <f>TRIM(IF(AND(ABS('Реестр рисков'!$G$5-0.5)&lt;0.001,ABS('Реестр рисков'!$H$5-0.1)&lt;0.001),'Реестр рисков'!$B$5&amp;" ","")&amp;IF(AND(ABS('Реестр рисков'!$G$6-0.5)&lt;0.001,ABS('Реестр рисков'!$H$6-0.1)&lt;0.001),'Реестр рисков'!$B$6&amp;" ","")&amp;IF(AND(ABS('Реестр рисков'!$G$7-0.5)&lt;0.001,ABS('Реестр рисков'!$H$7-0.1)&lt;0.001),'Реестр рисков'!$B$7&amp;" ","")&amp;IF(AND(ABS('Реестр рисков'!$G$8-0.5)&lt;0.001,ABS('Реестр рисков'!$H$8-0.1)&lt;0.001),'Реестр рисков'!$B$8&amp;" ","")&amp;IF(AND(ABS('Реестр рисков'!$G$9-0.5)&lt;0.001,ABS('Реестр рисков'!$H$9-0.1)&lt;0.001),'Реестр рисков'!$B$9&amp;" ","")&amp;IF(AND(ABS('Реестр рисков'!$G$10-0.5)&lt;0.001,ABS('Реестр рисков'!$H$10-0.1)&lt;0.001),'Реестр рисков'!$B$10&amp;" ","")&amp;IF(AND(ABS('Реестр рисков'!$G$11-0.5)&lt;0.001,ABS('Реестр рисков'!$H$11-0.1)&lt;0.001),'Реестр рисков'!$B$11&amp;" ","")&amp;IF(AND(ABS('Реестр рисков'!$G$12-0.5)&lt;0.001,ABS('Реестр рисков'!$H$12-0.1)&lt;0.001),'Реестр рисков'!$B$12&amp;" ","")&amp;IF(AND(ABS('Реестр рисков'!$G$13-0.5)&lt;0.001,ABS('Реестр рисков'!$H$13-0.1)&lt;0.001),'Реестр рисков'!$B$13&amp;" ","")&amp;IF(AND(ABS('Реестр рисков'!$G$14-0.5)&lt;0.001,ABS('Реестр рисков'!$H$14-0.1)&lt;0.001),'Реестр рисков'!$B$14&amp;" ","")&amp;IF(AND(ABS('Реестр рисков'!$G$15-0.5)&lt;0.001,ABS('Реестр рисков'!$H$15-0.1)&lt;0.001),'Реестр рисков'!$B$15&amp;" ","")&amp;IF(AND(ABS('Реестр рисков'!$G$16-0.5)&lt;0.001,ABS('Реестр рисков'!$H$16-0.1)&lt;0.001),'Реестр рисков'!$B$16&amp;" ","")&amp;IF(AND(ABS('Реестр рисков'!$G$17-0.5)&lt;0.001,ABS('Реестр рисков'!$H$17-0.1)&lt;0.001),'Реестр рисков'!$B$17&amp;" ","")&amp;IF(AND(ABS('Реестр рисков'!$G$18-0.5)&lt;0.001,ABS('Реестр рисков'!$H$18-0.1)&lt;0.001),'Реестр рисков'!$B$18&amp;" ","")&amp;IF(AND(ABS('Реестр рисков'!$G$19-0.5)&lt;0.001,ABS('Реестр рисков'!$H$19-0.1)&lt;0.001),'Реестр рисков'!$B$19&amp;" ","")&amp;IF(AND(ABS('Реестр рисков'!$G$20-0.5)&lt;0.001,ABS('Реестр рисков'!$H$20-0.1)&lt;0.001),'Реестр рисков'!$B$20&amp;" ","")&amp;IF(AND(ABS('Реестр рисков'!$G$21-0.5)&lt;0.001,ABS('Реестр рисков'!$H$21-0.1)&lt;0.001),'Реестр рисков'!$B$21&amp;" ","")&amp;IF(AND(ABS('Реестр рисков'!$G$22-0.5)&lt;0.001,ABS('Реестр рисков'!$H$22-0.1)&lt;0.001),'Реестр рисков'!$B$22&amp;" ","")&amp;IF(AND(ABS('Реестр рисков'!$G$23-0.5)&lt;0.001,ABS('Реестр рисков'!$H$23-0.1)&lt;0.001),'Реестр рисков'!$B$23&amp;" ",""))</f>
        <v/>
      </c>
      <c r="H14" s="30" t="str">
        <f>TRIM(IF(AND(ABS('Реестр рисков'!$G$5-0.6)&lt;0.001,ABS('Реестр рисков'!$H$5-0.1)&lt;0.001),'Реестр рисков'!$B$5&amp;" ","")&amp;IF(AND(ABS('Реестр рисков'!$G$6-0.6)&lt;0.001,ABS('Реестр рисков'!$H$6-0.1)&lt;0.001),'Реестр рисков'!$B$6&amp;" ","")&amp;IF(AND(ABS('Реестр рисков'!$G$7-0.6)&lt;0.001,ABS('Реестр рисков'!$H$7-0.1)&lt;0.001),'Реестр рисков'!$B$7&amp;" ","")&amp;IF(AND(ABS('Реестр рисков'!$G$8-0.6)&lt;0.001,ABS('Реестр рисков'!$H$8-0.1)&lt;0.001),'Реестр рисков'!$B$8&amp;" ","")&amp;IF(AND(ABS('Реестр рисков'!$G$9-0.6)&lt;0.001,ABS('Реестр рисков'!$H$9-0.1)&lt;0.001),'Реестр рисков'!$B$9&amp;" ","")&amp;IF(AND(ABS('Реестр рисков'!$G$10-0.6)&lt;0.001,ABS('Реестр рисков'!$H$10-0.1)&lt;0.001),'Реестр рисков'!$B$10&amp;" ","")&amp;IF(AND(ABS('Реестр рисков'!$G$11-0.6)&lt;0.001,ABS('Реестр рисков'!$H$11-0.1)&lt;0.001),'Реестр рисков'!$B$11&amp;" ","")&amp;IF(AND(ABS('Реестр рисков'!$G$12-0.6)&lt;0.001,ABS('Реестр рисков'!$H$12-0.1)&lt;0.001),'Реестр рисков'!$B$12&amp;" ","")&amp;IF(AND(ABS('Реестр рисков'!$G$13-0.6)&lt;0.001,ABS('Реестр рисков'!$H$13-0.1)&lt;0.001),'Реестр рисков'!$B$13&amp;" ","")&amp;IF(AND(ABS('Реестр рисков'!$G$14-0.6)&lt;0.001,ABS('Реестр рисков'!$H$14-0.1)&lt;0.001),'Реестр рисков'!$B$14&amp;" ","")&amp;IF(AND(ABS('Реестр рисков'!$G$15-0.6)&lt;0.001,ABS('Реестр рисков'!$H$15-0.1)&lt;0.001),'Реестр рисков'!$B$15&amp;" ","")&amp;IF(AND(ABS('Реестр рисков'!$G$16-0.6)&lt;0.001,ABS('Реестр рисков'!$H$16-0.1)&lt;0.001),'Реестр рисков'!$B$16&amp;" ","")&amp;IF(AND(ABS('Реестр рисков'!$G$17-0.6)&lt;0.001,ABS('Реестр рисков'!$H$17-0.1)&lt;0.001),'Реестр рисков'!$B$17&amp;" ","")&amp;IF(AND(ABS('Реестр рисков'!$G$18-0.6)&lt;0.001,ABS('Реестр рисков'!$H$18-0.1)&lt;0.001),'Реестр рисков'!$B$18&amp;" ","")&amp;IF(AND(ABS('Реестр рисков'!$G$19-0.6)&lt;0.001,ABS('Реестр рисков'!$H$19-0.1)&lt;0.001),'Реестр рисков'!$B$19&amp;" ","")&amp;IF(AND(ABS('Реестр рисков'!$G$20-0.6)&lt;0.001,ABS('Реестр рисков'!$H$20-0.1)&lt;0.001),'Реестр рисков'!$B$20&amp;" ","")&amp;IF(AND(ABS('Реестр рисков'!$G$21-0.6)&lt;0.001,ABS('Реестр рисков'!$H$21-0.1)&lt;0.001),'Реестр рисков'!$B$21&amp;" ","")&amp;IF(AND(ABS('Реестр рисков'!$G$22-0.6)&lt;0.001,ABS('Реестр рисков'!$H$22-0.1)&lt;0.001),'Реестр рисков'!$B$22&amp;" ","")&amp;IF(AND(ABS('Реестр рисков'!$G$23-0.6)&lt;0.001,ABS('Реестр рисков'!$H$23-0.1)&lt;0.001),'Реестр рисков'!$B$23&amp;" ",""))</f>
        <v/>
      </c>
      <c r="I14" s="30" t="str">
        <f>TRIM(IF(AND(ABS('Реестр рисков'!$G$5-0.7)&lt;0.001,ABS('Реестр рисков'!$H$5-0.1)&lt;0.001),'Реестр рисков'!$B$5&amp;" ","")&amp;IF(AND(ABS('Реестр рисков'!$G$6-0.7)&lt;0.001,ABS('Реестр рисков'!$H$6-0.1)&lt;0.001),'Реестр рисков'!$B$6&amp;" ","")&amp;IF(AND(ABS('Реестр рисков'!$G$7-0.7)&lt;0.001,ABS('Реестр рисков'!$H$7-0.1)&lt;0.001),'Реестр рисков'!$B$7&amp;" ","")&amp;IF(AND(ABS('Реестр рисков'!$G$8-0.7)&lt;0.001,ABS('Реестр рисков'!$H$8-0.1)&lt;0.001),'Реестр рисков'!$B$8&amp;" ","")&amp;IF(AND(ABS('Реестр рисков'!$G$9-0.7)&lt;0.001,ABS('Реестр рисков'!$H$9-0.1)&lt;0.001),'Реестр рисков'!$B$9&amp;" ","")&amp;IF(AND(ABS('Реестр рисков'!$G$10-0.7)&lt;0.001,ABS('Реестр рисков'!$H$10-0.1)&lt;0.001),'Реестр рисков'!$B$10&amp;" ","")&amp;IF(AND(ABS('Реестр рисков'!$G$11-0.7)&lt;0.001,ABS('Реестр рисков'!$H$11-0.1)&lt;0.001),'Реестр рисков'!$B$11&amp;" ","")&amp;IF(AND(ABS('Реестр рисков'!$G$12-0.7)&lt;0.001,ABS('Реестр рисков'!$H$12-0.1)&lt;0.001),'Реестр рисков'!$B$12&amp;" ","")&amp;IF(AND(ABS('Реестр рисков'!$G$13-0.7)&lt;0.001,ABS('Реестр рисков'!$H$13-0.1)&lt;0.001),'Реестр рисков'!$B$13&amp;" ","")&amp;IF(AND(ABS('Реестр рисков'!$G$14-0.7)&lt;0.001,ABS('Реестр рисков'!$H$14-0.1)&lt;0.001),'Реестр рисков'!$B$14&amp;" ","")&amp;IF(AND(ABS('Реестр рисков'!$G$15-0.7)&lt;0.001,ABS('Реестр рисков'!$H$15-0.1)&lt;0.001),'Реестр рисков'!$B$15&amp;" ","")&amp;IF(AND(ABS('Реестр рисков'!$G$16-0.7)&lt;0.001,ABS('Реестр рисков'!$H$16-0.1)&lt;0.001),'Реестр рисков'!$B$16&amp;" ","")&amp;IF(AND(ABS('Реестр рисков'!$G$17-0.7)&lt;0.001,ABS('Реестр рисков'!$H$17-0.1)&lt;0.001),'Реестр рисков'!$B$17&amp;" ","")&amp;IF(AND(ABS('Реестр рисков'!$G$18-0.7)&lt;0.001,ABS('Реестр рисков'!$H$18-0.1)&lt;0.001),'Реестр рисков'!$B$18&amp;" ","")&amp;IF(AND(ABS('Реестр рисков'!$G$19-0.7)&lt;0.001,ABS('Реестр рисков'!$H$19-0.1)&lt;0.001),'Реестр рисков'!$B$19&amp;" ","")&amp;IF(AND(ABS('Реестр рисков'!$G$20-0.7)&lt;0.001,ABS('Реестр рисков'!$H$20-0.1)&lt;0.001),'Реестр рисков'!$B$20&amp;" ","")&amp;IF(AND(ABS('Реестр рисков'!$G$21-0.7)&lt;0.001,ABS('Реестр рисков'!$H$21-0.1)&lt;0.001),'Реестр рисков'!$B$21&amp;" ","")&amp;IF(AND(ABS('Реестр рисков'!$G$22-0.7)&lt;0.001,ABS('Реестр рисков'!$H$22-0.1)&lt;0.001),'Реестр рисков'!$B$22&amp;" ","")&amp;IF(AND(ABS('Реестр рисков'!$G$23-0.7)&lt;0.001,ABS('Реестр рисков'!$H$23-0.1)&lt;0.001),'Реестр рисков'!$B$23&amp;" ",""))</f>
        <v/>
      </c>
      <c r="J14" s="30" t="str">
        <f>TRIM(IF(AND(ABS('Реестр рисков'!$G$5-0.8)&lt;0.001,ABS('Реестр рисков'!$H$5-0.1)&lt;0.001),'Реестр рисков'!$B$5&amp;" ","")&amp;IF(AND(ABS('Реестр рисков'!$G$6-0.8)&lt;0.001,ABS('Реестр рисков'!$H$6-0.1)&lt;0.001),'Реестр рисков'!$B$6&amp;" ","")&amp;IF(AND(ABS('Реестр рисков'!$G$7-0.8)&lt;0.001,ABS('Реестр рисков'!$H$7-0.1)&lt;0.001),'Реестр рисков'!$B$7&amp;" ","")&amp;IF(AND(ABS('Реестр рисков'!$G$8-0.8)&lt;0.001,ABS('Реестр рисков'!$H$8-0.1)&lt;0.001),'Реестр рисков'!$B$8&amp;" ","")&amp;IF(AND(ABS('Реестр рисков'!$G$9-0.8)&lt;0.001,ABS('Реестр рисков'!$H$9-0.1)&lt;0.001),'Реестр рисков'!$B$9&amp;" ","")&amp;IF(AND(ABS('Реестр рисков'!$G$10-0.8)&lt;0.001,ABS('Реестр рисков'!$H$10-0.1)&lt;0.001),'Реестр рисков'!$B$10&amp;" ","")&amp;IF(AND(ABS('Реестр рисков'!$G$11-0.8)&lt;0.001,ABS('Реестр рисков'!$H$11-0.1)&lt;0.001),'Реестр рисков'!$B$11&amp;" ","")&amp;IF(AND(ABS('Реестр рисков'!$G$12-0.8)&lt;0.001,ABS('Реестр рисков'!$H$12-0.1)&lt;0.001),'Реестр рисков'!$B$12&amp;" ","")&amp;IF(AND(ABS('Реестр рисков'!$G$13-0.8)&lt;0.001,ABS('Реестр рисков'!$H$13-0.1)&lt;0.001),'Реестр рисков'!$B$13&amp;" ","")&amp;IF(AND(ABS('Реестр рисков'!$G$14-0.8)&lt;0.001,ABS('Реестр рисков'!$H$14-0.1)&lt;0.001),'Реестр рисков'!$B$14&amp;" ","")&amp;IF(AND(ABS('Реестр рисков'!$G$15-0.8)&lt;0.001,ABS('Реестр рисков'!$H$15-0.1)&lt;0.001),'Реестр рисков'!$B$15&amp;" ","")&amp;IF(AND(ABS('Реестр рисков'!$G$16-0.8)&lt;0.001,ABS('Реестр рисков'!$H$16-0.1)&lt;0.001),'Реестр рисков'!$B$16&amp;" ","")&amp;IF(AND(ABS('Реестр рисков'!$G$17-0.8)&lt;0.001,ABS('Реестр рисков'!$H$17-0.1)&lt;0.001),'Реестр рисков'!$B$17&amp;" ","")&amp;IF(AND(ABS('Реестр рисков'!$G$18-0.8)&lt;0.001,ABS('Реестр рисков'!$H$18-0.1)&lt;0.001),'Реестр рисков'!$B$18&amp;" ","")&amp;IF(AND(ABS('Реестр рисков'!$G$19-0.8)&lt;0.001,ABS('Реестр рисков'!$H$19-0.1)&lt;0.001),'Реестр рисков'!$B$19&amp;" ","")&amp;IF(AND(ABS('Реестр рисков'!$G$20-0.8)&lt;0.001,ABS('Реестр рисков'!$H$20-0.1)&lt;0.001),'Реестр рисков'!$B$20&amp;" ","")&amp;IF(AND(ABS('Реестр рисков'!$G$21-0.8)&lt;0.001,ABS('Реестр рисков'!$H$21-0.1)&lt;0.001),'Реестр рисков'!$B$21&amp;" ","")&amp;IF(AND(ABS('Реестр рисков'!$G$22-0.8)&lt;0.001,ABS('Реестр рисков'!$H$22-0.1)&lt;0.001),'Реестр рисков'!$B$22&amp;" ","")&amp;IF(AND(ABS('Реестр рисков'!$G$23-0.8)&lt;0.001,ABS('Реестр рисков'!$H$23-0.1)&lt;0.001),'Реестр рисков'!$B$23&amp;" ",""))</f>
        <v/>
      </c>
      <c r="K14" s="30" t="str">
        <f>TRIM(IF(AND(ABS('Реестр рисков'!$G$5-0.9)&lt;0.001,ABS('Реестр рисков'!$H$5-0.1)&lt;0.001),'Реестр рисков'!$B$5&amp;" ","")&amp;IF(AND(ABS('Реестр рисков'!$G$6-0.9)&lt;0.001,ABS('Реестр рисков'!$H$6-0.1)&lt;0.001),'Реестр рисков'!$B$6&amp;" ","")&amp;IF(AND(ABS('Реестр рисков'!$G$7-0.9)&lt;0.001,ABS('Реестр рисков'!$H$7-0.1)&lt;0.001),'Реестр рисков'!$B$7&amp;" ","")&amp;IF(AND(ABS('Реестр рисков'!$G$8-0.9)&lt;0.001,ABS('Реестр рисков'!$H$8-0.1)&lt;0.001),'Реестр рисков'!$B$8&amp;" ","")&amp;IF(AND(ABS('Реестр рисков'!$G$9-0.9)&lt;0.001,ABS('Реестр рисков'!$H$9-0.1)&lt;0.001),'Реестр рисков'!$B$9&amp;" ","")&amp;IF(AND(ABS('Реестр рисков'!$G$10-0.9)&lt;0.001,ABS('Реестр рисков'!$H$10-0.1)&lt;0.001),'Реестр рисков'!$B$10&amp;" ","")&amp;IF(AND(ABS('Реестр рисков'!$G$11-0.9)&lt;0.001,ABS('Реестр рисков'!$H$11-0.1)&lt;0.001),'Реестр рисков'!$B$11&amp;" ","")&amp;IF(AND(ABS('Реестр рисков'!$G$12-0.9)&lt;0.001,ABS('Реестр рисков'!$H$12-0.1)&lt;0.001),'Реестр рисков'!$B$12&amp;" ","")&amp;IF(AND(ABS('Реестр рисков'!$G$13-0.9)&lt;0.001,ABS('Реестр рисков'!$H$13-0.1)&lt;0.001),'Реестр рисков'!$B$13&amp;" ","")&amp;IF(AND(ABS('Реестр рисков'!$G$14-0.9)&lt;0.001,ABS('Реестр рисков'!$H$14-0.1)&lt;0.001),'Реестр рисков'!$B$14&amp;" ","")&amp;IF(AND(ABS('Реестр рисков'!$G$15-0.9)&lt;0.001,ABS('Реестр рисков'!$H$15-0.1)&lt;0.001),'Реестр рисков'!$B$15&amp;" ","")&amp;IF(AND(ABS('Реестр рисков'!$G$16-0.9)&lt;0.001,ABS('Реестр рисков'!$H$16-0.1)&lt;0.001),'Реестр рисков'!$B$16&amp;" ","")&amp;IF(AND(ABS('Реестр рисков'!$G$17-0.9)&lt;0.001,ABS('Реестр рисков'!$H$17-0.1)&lt;0.001),'Реестр рисков'!$B$17&amp;" ","")&amp;IF(AND(ABS('Реестр рисков'!$G$18-0.9)&lt;0.001,ABS('Реестр рисков'!$H$18-0.1)&lt;0.001),'Реестр рисков'!$B$18&amp;" ","")&amp;IF(AND(ABS('Реестр рисков'!$G$19-0.9)&lt;0.001,ABS('Реестр рисков'!$H$19-0.1)&lt;0.001),'Реестр рисков'!$B$19&amp;" ","")&amp;IF(AND(ABS('Реестр рисков'!$G$20-0.9)&lt;0.001,ABS('Реестр рисков'!$H$20-0.1)&lt;0.001),'Реестр рисков'!$B$20&amp;" ","")&amp;IF(AND(ABS('Реестр рисков'!$G$21-0.9)&lt;0.001,ABS('Реестр рисков'!$H$21-0.1)&lt;0.001),'Реестр рисков'!$B$21&amp;" ","")&amp;IF(AND(ABS('Реестр рисков'!$G$22-0.9)&lt;0.001,ABS('Реестр рисков'!$H$22-0.1)&lt;0.001),'Реестр рисков'!$B$22&amp;" ","")&amp;IF(AND(ABS('Реестр рисков'!$G$23-0.9)&lt;0.001,ABS('Реестр рисков'!$H$23-0.1)&lt;0.001),'Реестр рисков'!$B$23&amp;" ",""))</f>
        <v/>
      </c>
      <c r="L14" s="30" t="str">
        <f>TRIM(IF(AND(ABS('Реестр рисков'!$G$5-1)&lt;0.001,ABS('Реестр рисков'!$H$5-0.1)&lt;0.001),'Реестр рисков'!$B$5&amp;" ","")&amp;IF(AND(ABS('Реестр рисков'!$G$6-1)&lt;0.001,ABS('Реестр рисков'!$H$6-0.1)&lt;0.001),'Реестр рисков'!$B$6&amp;" ","")&amp;IF(AND(ABS('Реестр рисков'!$G$7-1)&lt;0.001,ABS('Реестр рисков'!$H$7-0.1)&lt;0.001),'Реестр рисков'!$B$7&amp;" ","")&amp;IF(AND(ABS('Реестр рисков'!$G$8-1)&lt;0.001,ABS('Реестр рисков'!$H$8-0.1)&lt;0.001),'Реестр рисков'!$B$8&amp;" ","")&amp;IF(AND(ABS('Реестр рисков'!$G$9-1)&lt;0.001,ABS('Реестр рисков'!$H$9-0.1)&lt;0.001),'Реестр рисков'!$B$9&amp;" ","")&amp;IF(AND(ABS('Реестр рисков'!$G$10-1)&lt;0.001,ABS('Реестр рисков'!$H$10-0.1)&lt;0.001),'Реестр рисков'!$B$10&amp;" ","")&amp;IF(AND(ABS('Реестр рисков'!$G$11-1)&lt;0.001,ABS('Реестр рисков'!$H$11-0.1)&lt;0.001),'Реестр рисков'!$B$11&amp;" ","")&amp;IF(AND(ABS('Реестр рисков'!$G$12-1)&lt;0.001,ABS('Реестр рисков'!$H$12-0.1)&lt;0.001),'Реестр рисков'!$B$12&amp;" ","")&amp;IF(AND(ABS('Реестр рисков'!$G$13-1)&lt;0.001,ABS('Реестр рисков'!$H$13-0.1)&lt;0.001),'Реестр рисков'!$B$13&amp;" ","")&amp;IF(AND(ABS('Реестр рисков'!$G$14-1)&lt;0.001,ABS('Реестр рисков'!$H$14-0.1)&lt;0.001),'Реестр рисков'!$B$14&amp;" ","")&amp;IF(AND(ABS('Реестр рисков'!$G$15-1)&lt;0.001,ABS('Реестр рисков'!$H$15-0.1)&lt;0.001),'Реестр рисков'!$B$15&amp;" ","")&amp;IF(AND(ABS('Реестр рисков'!$G$16-1)&lt;0.001,ABS('Реестр рисков'!$H$16-0.1)&lt;0.001),'Реестр рисков'!$B$16&amp;" ","")&amp;IF(AND(ABS('Реестр рисков'!$G$17-1)&lt;0.001,ABS('Реестр рисков'!$H$17-0.1)&lt;0.001),'Реестр рисков'!$B$17&amp;" ","")&amp;IF(AND(ABS('Реестр рисков'!$G$18-1)&lt;0.001,ABS('Реестр рисков'!$H$18-0.1)&lt;0.001),'Реестр рисков'!$B$18&amp;" ","")&amp;IF(AND(ABS('Реестр рисков'!$G$19-1)&lt;0.001,ABS('Реестр рисков'!$H$19-0.1)&lt;0.001),'Реестр рисков'!$B$19&amp;" ","")&amp;IF(AND(ABS('Реестр рисков'!$G$20-1)&lt;0.001,ABS('Реестр рисков'!$H$20-0.1)&lt;0.001),'Реестр рисков'!$B$20&amp;" ","")&amp;IF(AND(ABS('Реестр рисков'!$G$21-1)&lt;0.001,ABS('Реестр рисков'!$H$21-0.1)&lt;0.001),'Реестр рисков'!$B$21&amp;" ","")&amp;IF(AND(ABS('Реестр рисков'!$G$22-1)&lt;0.001,ABS('Реестр рисков'!$H$22-0.1)&lt;0.001),'Реестр рисков'!$B$22&amp;" ","")&amp;IF(AND(ABS('Реестр рисков'!$G$23-1)&lt;0.001,ABS('Реестр рисков'!$H$23-0.1)&lt;0.001),'Реестр рисков'!$B$23&amp;" ",""))</f>
        <v/>
      </c>
    </row>
    <row r="15" spans="1:12" x14ac:dyDescent="0.45">
      <c r="C15" s="29">
        <v>0.1</v>
      </c>
      <c r="D15" s="29">
        <v>0.2</v>
      </c>
      <c r="E15" s="29">
        <v>0.3</v>
      </c>
      <c r="F15" s="29">
        <v>0.4</v>
      </c>
      <c r="G15" s="29">
        <v>0.5</v>
      </c>
      <c r="H15" s="29">
        <v>0.6</v>
      </c>
      <c r="I15" s="29">
        <v>0.7</v>
      </c>
      <c r="J15" s="29">
        <v>0.8</v>
      </c>
      <c r="K15" s="29">
        <v>0.9</v>
      </c>
      <c r="L15" s="29">
        <v>1</v>
      </c>
    </row>
    <row r="16" spans="1:12" ht="15" customHeight="1" x14ac:dyDescent="0.45">
      <c r="C16" s="4" t="s">
        <v>243</v>
      </c>
      <c r="D16" s="4"/>
      <c r="E16" s="4"/>
      <c r="F16" s="4"/>
      <c r="G16" s="4"/>
      <c r="H16" s="4"/>
      <c r="I16" s="4"/>
      <c r="J16" s="4"/>
      <c r="K16" s="4"/>
      <c r="L16" s="4"/>
    </row>
    <row r="18" spans="2:10" x14ac:dyDescent="0.45">
      <c r="B18" s="33"/>
      <c r="C18" s="34" t="s">
        <v>244</v>
      </c>
    </row>
    <row r="19" spans="2:10" x14ac:dyDescent="0.45">
      <c r="B19" s="35"/>
      <c r="C19" s="34" t="s">
        <v>245</v>
      </c>
    </row>
    <row r="20" spans="2:10" x14ac:dyDescent="0.45">
      <c r="B20" s="36"/>
      <c r="C20" s="34" t="s">
        <v>246</v>
      </c>
    </row>
    <row r="22" spans="2:10" x14ac:dyDescent="0.45">
      <c r="B22" s="3" t="s">
        <v>247</v>
      </c>
      <c r="C22" s="3"/>
      <c r="D22" s="3"/>
      <c r="E22" s="3"/>
      <c r="F22" s="3"/>
      <c r="G22" s="3"/>
      <c r="H22" s="3"/>
      <c r="I22" s="3"/>
      <c r="J22" s="3"/>
    </row>
    <row r="23" spans="2:10" ht="23.85" customHeight="1" x14ac:dyDescent="0.45">
      <c r="B23" s="9" t="s">
        <v>248</v>
      </c>
      <c r="C23" s="2" t="s">
        <v>249</v>
      </c>
      <c r="D23" s="2"/>
      <c r="E23" s="2"/>
      <c r="F23" s="2"/>
      <c r="G23" s="2"/>
      <c r="H23" s="2"/>
      <c r="I23" s="9" t="s">
        <v>250</v>
      </c>
      <c r="J23" s="9" t="s">
        <v>11</v>
      </c>
    </row>
    <row r="24" spans="2:10" ht="31.5" customHeight="1" x14ac:dyDescent="0.45">
      <c r="B24" s="10">
        <v>1</v>
      </c>
      <c r="C24" s="1" t="str">
        <f>INDEX('Реестр рисков'!$B$5:$B$23,MATCH(B24,'Реестр рисков'!$W$5:$W$23,0))&amp;" — "&amp;INDEX('Реестр рисков'!$C$5:$C$23,MATCH(B24,'Реестр рисков'!$W$5:$W$23,0))</f>
        <v>R3 — Пользователи не захотят менять привычную работу в Excel и пробовать новый сервис</v>
      </c>
      <c r="D24" s="1"/>
      <c r="E24" s="1"/>
      <c r="F24" s="1"/>
      <c r="G24" s="1"/>
      <c r="H24" s="1"/>
      <c r="I24" s="14">
        <f>INDEX('Реестр рисков'!$I$5:$I$23,MATCH(B24,'Реестр рисков'!$W$5:$W$23,0))</f>
        <v>0.63</v>
      </c>
      <c r="J24" s="10" t="str">
        <f>IF(I24&gt;'Шкалы оценки'!$B$21,"Высокий",IF(I24&gt;='Шкалы оценки'!$B$22,"Средний","Низкий"))</f>
        <v>Высокий</v>
      </c>
    </row>
    <row r="25" spans="2:10" ht="31.5" customHeight="1" x14ac:dyDescent="0.45">
      <c r="B25" s="10">
        <v>2</v>
      </c>
      <c r="C25" s="1" t="str">
        <f>INDEX('Реестр рисков'!$B$5:$B$23,MATCH(B25,'Реестр рисков'!$W$5:$W$23,0))&amp;" — "&amp;INDEX('Реестр рисков'!$C$5:$C$23,MATCH(B25,'Реестр рисков'!$W$5:$W$23,0))</f>
        <v>R1 — Крупные платформы (Microsoft Copilot, ChatGPT / Claude for Excel) выпустят бесплатный «режим проверки»</v>
      </c>
      <c r="D25" s="1"/>
      <c r="E25" s="1"/>
      <c r="F25" s="1"/>
      <c r="G25" s="1"/>
      <c r="H25" s="1"/>
      <c r="I25" s="14">
        <f>INDEX('Реестр рисков'!$I$5:$I$23,MATCH(B25,'Реестр рисков'!$W$5:$W$23,0))</f>
        <v>0.55999999999999994</v>
      </c>
      <c r="J25" s="10" t="str">
        <f>IF(I25&gt;'Шкалы оценки'!$B$21,"Высокий",IF(I25&gt;='Шкалы оценки'!$B$22,"Средний","Низкий"))</f>
        <v>Высокий</v>
      </c>
    </row>
    <row r="26" spans="2:10" ht="31.5" customHeight="1" x14ac:dyDescent="0.45">
      <c r="B26" s="10">
        <v>3</v>
      </c>
      <c r="C26" s="1" t="str">
        <f>INDEX('Реестр рисков'!$B$5:$B$23,MATCH(B26,'Реестр рисков'!$W$5:$W$23,0))&amp;" — "&amp;INDEX('Реестр рисков'!$C$5:$C$23,MATCH(B26,'Реестр рисков'!$W$5:$W$23,0))</f>
        <v>R4 — Срыв сроков критического пути из-за недооценки трудоёмкости (ядро, надстройка)</v>
      </c>
      <c r="D26" s="1"/>
      <c r="E26" s="1"/>
      <c r="F26" s="1"/>
      <c r="G26" s="1"/>
      <c r="H26" s="1"/>
      <c r="I26" s="14">
        <f>INDEX('Реестр рисков'!$I$5:$I$23,MATCH(B26,'Реестр рисков'!$W$5:$W$23,0))</f>
        <v>0.55999999999999994</v>
      </c>
      <c r="J26" s="10" t="str">
        <f>IF(I26&gt;'Шкалы оценки'!$B$21,"Высокий",IF(I26&gt;='Шкалы оценки'!$B$22,"Средний","Низкий"))</f>
        <v>Высокий</v>
      </c>
    </row>
    <row r="27" spans="2:10" ht="31.5" customHeight="1" x14ac:dyDescent="0.45">
      <c r="B27" s="10">
        <v>4</v>
      </c>
      <c r="C27" s="1" t="str">
        <f>INDEX('Реестр рисков'!$B$5:$B$23,MATCH(B27,'Реестр рисков'!$W$5:$W$23,0))&amp;" — "&amp;INDEX('Реестр рисков'!$C$5:$C$23,MATCH(B27,'Реестр рисков'!$W$5:$W$23,0))</f>
        <v>R2 — Высокая доля ложных срабатываний правил (precision критичных находок &lt; 90%)</v>
      </c>
      <c r="D27" s="1"/>
      <c r="E27" s="1"/>
      <c r="F27" s="1"/>
      <c r="G27" s="1"/>
      <c r="H27" s="1"/>
      <c r="I27" s="14">
        <f>INDEX('Реестр рисков'!$I$5:$I$23,MATCH(B27,'Реестр рисков'!$W$5:$W$23,0))</f>
        <v>0.54</v>
      </c>
      <c r="J27" s="10" t="str">
        <f>IF(I27&gt;'Шкалы оценки'!$B$21,"Высокий",IF(I27&gt;='Шкалы оценки'!$B$22,"Средний","Низкий"))</f>
        <v>Высокий</v>
      </c>
    </row>
    <row r="28" spans="2:10" ht="31.5" customHeight="1" x14ac:dyDescent="0.45">
      <c r="B28" s="10">
        <v>5</v>
      </c>
      <c r="C28" s="1" t="str">
        <f>INDEX('Реестр рисков'!$B$5:$B$23,MATCH(B28,'Реестр рисков'!$W$5:$W$23,0))&amp;" — "&amp;INDEX('Реестр рисков'!$C$5:$C$23,MATCH(B28,'Реестр рисков'!$W$5:$W$23,0))</f>
        <v>R5 — Пользователи не готовы загружать конфиденциальные финмодели в облако</v>
      </c>
      <c r="D28" s="1"/>
      <c r="E28" s="1"/>
      <c r="F28" s="1"/>
      <c r="G28" s="1"/>
      <c r="H28" s="1"/>
      <c r="I28" s="14">
        <f>INDEX('Реестр рисков'!$I$5:$I$23,MATCH(B28,'Реестр рисков'!$W$5:$W$23,0))</f>
        <v>0.4</v>
      </c>
      <c r="J28" s="10" t="str">
        <f>IF(I28&gt;'Шкалы оценки'!$B$21,"Высокий",IF(I28&gt;='Шкалы оценки'!$B$22,"Средний","Низкий"))</f>
        <v>Средний</v>
      </c>
    </row>
  </sheetData>
  <mergeCells count="9">
    <mergeCell ref="C25:H25"/>
    <mergeCell ref="C26:H26"/>
    <mergeCell ref="C27:H27"/>
    <mergeCell ref="C28:H28"/>
    <mergeCell ref="A5:A14"/>
    <mergeCell ref="C16:L16"/>
    <mergeCell ref="B22:J22"/>
    <mergeCell ref="C23:H23"/>
    <mergeCell ref="C24:H24"/>
  </mergeCells>
  <pageMargins left="0.75" right="0.75" top="1" bottom="1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Реестр рисков</vt:lpstr>
      <vt:lpstr>Шкалы оценки</vt:lpstr>
      <vt:lpstr>Карта рисков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1</cp:revision>
  <dcterms:created xsi:type="dcterms:W3CDTF">2026-09-30T16:31:22Z</dcterms:created>
  <dcterms:modified xsi:type="dcterms:W3CDTF">2026-10-01T12:55:07Z</dcterms:modified>
  <dc:language>en-US</dc:language>
</cp:coreProperties>
</file>
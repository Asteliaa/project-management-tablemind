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excel-mcp-files\project-management-tablemind\pz1\"/>
    </mc:Choice>
  </mc:AlternateContent>
  <xr:revisionPtr revIDLastSave="0" documentId="13_ncr:1_{1892544C-1684-40BC-92D9-FE3876A11640}" xr6:coauthVersionLast="47" xr6:coauthVersionMax="47" xr10:uidLastSave="{00000000-0000-0000-0000-000000000000}"/>
  <bookViews>
    <workbookView xWindow="2670" yWindow="458" windowWidth="12023" windowHeight="10972" xr2:uid="{00000000-000D-0000-FFFF-FFFF00000000}"/>
  </bookViews>
  <sheets>
    <sheet name="Титул" sheetId="1" r:id="rId1"/>
    <sheet name="Команда и бюджет" sheetId="2" r:id="rId2"/>
    <sheet name="MoSCoW" sheetId="3" r:id="rId3"/>
    <sheet name="Декомпозиция" sheetId="4" r:id="rId4"/>
    <sheet name="Работы WBS" sheetId="5" r:id="rId5"/>
    <sheet name="Стейкхолдер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6" l="1"/>
  <c r="G17" i="6" s="1"/>
  <c r="F16" i="6"/>
  <c r="F15" i="6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C22" i="5"/>
  <c r="C21" i="5"/>
  <c r="C23" i="5" s="1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C24" i="5" s="1"/>
  <c r="C36" i="4"/>
  <c r="C35" i="4"/>
  <c r="C37" i="4" s="1"/>
  <c r="C29" i="3"/>
  <c r="C28" i="3"/>
  <c r="C27" i="3"/>
  <c r="C26" i="3"/>
  <c r="E11" i="2"/>
  <c r="E10" i="2"/>
  <c r="E9" i="2"/>
  <c r="E8" i="2"/>
  <c r="E7" i="2"/>
  <c r="E6" i="2"/>
  <c r="E5" i="2"/>
  <c r="E12" i="2" s="1"/>
  <c r="D23" i="6" l="1"/>
  <c r="D24" i="6"/>
  <c r="D22" i="6"/>
  <c r="B11" i="1"/>
  <c r="C17" i="2"/>
  <c r="C22" i="2" s="1"/>
  <c r="C30" i="3"/>
  <c r="B14" i="1" s="1"/>
  <c r="C31" i="3"/>
  <c r="C32" i="3" s="1"/>
  <c r="D26" i="3"/>
  <c r="G15" i="6"/>
  <c r="G16" i="6"/>
  <c r="D21" i="6"/>
  <c r="D25" i="6" s="1"/>
  <c r="D28" i="3" l="1"/>
  <c r="D29" i="3"/>
  <c r="C23" i="2"/>
  <c r="B13" i="1" s="1"/>
  <c r="D27" i="3"/>
  <c r="D30" i="3" s="1"/>
  <c r="C24" i="2" l="1"/>
  <c r="B12" i="1" s="1"/>
</calcChain>
</file>

<file path=xl/sharedStrings.xml><?xml version="1.0" encoding="utf-8"?>
<sst xmlns="http://schemas.openxmlformats.org/spreadsheetml/2006/main" count="333" uniqueCount="258">
  <si>
    <t>Дисциплина «Управление проектами»</t>
  </si>
  <si>
    <t>Практическое занятие 1. Разработка концепции проекта</t>
  </si>
  <si>
    <t>Проект «TableMind» — AI-сервис проверки Excel-моделей</t>
  </si>
  <si>
    <t>Выполнил(а)</t>
  </si>
  <si>
    <t>слушатель гр. 60121 Земляник Р.В.</t>
  </si>
  <si>
    <t>Руководитель</t>
  </si>
  <si>
    <t>И.В. Кашникова</t>
  </si>
  <si>
    <t>Дата заполнения</t>
  </si>
  <si>
    <t>28.09.2026</t>
  </si>
  <si>
    <t>Ключевые параметры</t>
  </si>
  <si>
    <t>Срок проекта</t>
  </si>
  <si>
    <t>01.10.2026 – 30.09.2027 (12 месяцев)</t>
  </si>
  <si>
    <t>Команда</t>
  </si>
  <si>
    <t>Бюджет, BYN</t>
  </si>
  <si>
    <t>Резерв на риски, BYN</t>
  </si>
  <si>
    <t>Must в MoSCoW</t>
  </si>
  <si>
    <t>Критический путь</t>
  </si>
  <si>
    <t>1.0 → 3.0 → 6.0 → 9.0 → 12.0 → 13.0 → 14.0 → 15.0</t>
  </si>
  <si>
    <t>Листы книги</t>
  </si>
  <si>
    <t>Команда и бюджет</t>
  </si>
  <si>
    <t>раздел 3, организационные и бюджетные ограничения: загрузка команды 57 чел.-мес. и смета 517 000 BYN</t>
  </si>
  <si>
    <t>MoSCoW</t>
  </si>
  <si>
    <t>раздел 2.1: 18 требований по приоритетам, доля Must ≤ 60%</t>
  </si>
  <si>
    <t>Декомпозиция</t>
  </si>
  <si>
    <t>раздел 4.1: 6 этапов, 23 задачи со ссылками на работы WBS</t>
  </si>
  <si>
    <t>Работы WBS</t>
  </si>
  <si>
    <t>таблица 4.2: 15 работ WBS со сроками и признаком критического пути</t>
  </si>
  <si>
    <t>Стейкхолдеры</t>
  </si>
  <si>
    <t>раздел 5: 13 стейкхолдеров, матрица влияние/интерес 1–5, квадранты A–D</t>
  </si>
  <si>
    <t>Изменяйте только ячейки с жёлтой заливкой: итоги, доли и квадранты считаются формулами.</t>
  </si>
  <si>
    <t>Команда и бюджет проекта (ПЗ1, раздел 3)</t>
  </si>
  <si>
    <t>Проект «TableMind» · слушатель гр. 60121 Земляник Р.В. · преподаватель И.В. Кашникова</t>
  </si>
  <si>
    <t>№</t>
  </si>
  <si>
    <t>Роль</t>
  </si>
  <si>
    <t>Ставка</t>
  </si>
  <si>
    <t>Месяцев</t>
  </si>
  <si>
    <t>Чел.-мес.</t>
  </si>
  <si>
    <t>Руководитель проекта</t>
  </si>
  <si>
    <t>Бэкенд-разработчик 1</t>
  </si>
  <si>
    <t>Бэкенд-разработчик 2 (ядро, надстройка)</t>
  </si>
  <si>
    <t>Фронтенд-разработчик</t>
  </si>
  <si>
    <t>ML/LLM-инженер</t>
  </si>
  <si>
    <t>UI/UX-дизайнер</t>
  </si>
  <si>
    <t>QA-инженер</t>
  </si>
  <si>
    <t>Итого</t>
  </si>
  <si>
    <t>Стоимость 1 чел.-мес., BYN</t>
  </si>
  <si>
    <t>5 600 BYN брутто + 34% взносов ФСЗН</t>
  </si>
  <si>
    <t>Резерв на риски, % от базовой стоимости</t>
  </si>
  <si>
    <t>Статья бюджета</t>
  </si>
  <si>
    <t>Сумма, BYN</t>
  </si>
  <si>
    <t>Комментарий</t>
  </si>
  <si>
    <t>Оплата труда</t>
  </si>
  <si>
    <t>чел.-мес. × стоимость чел.-мес.</t>
  </si>
  <si>
    <t>Облако в ЕС и LLM API</t>
  </si>
  <si>
    <t>Юрист и лицензии</t>
  </si>
  <si>
    <t>Инструменты разработки (Figma, GitHub, AI-агенты)</t>
  </si>
  <si>
    <t>Маркетинговый запуск</t>
  </si>
  <si>
    <t>Базовая стоимость</t>
  </si>
  <si>
    <t>Резерв на риски</t>
  </si>
  <si>
    <t>10% от базовой стоимости</t>
  </si>
  <si>
    <t>Общий бюджет</t>
  </si>
  <si>
    <t>Не включено: сертификация SOC 2/ISO 27001, платная реклама в масштабе, поддержка после 30.09.2027.</t>
  </si>
  <si>
    <t>Приоритизация требований по MoSCoW (ПЗ1, раздел 2.1)</t>
  </si>
  <si>
    <t>Требование</t>
  </si>
  <si>
    <t>Приоритет</t>
  </si>
  <si>
    <t>Решение</t>
  </si>
  <si>
    <t>Импорт xlsx/csv: листы, формулы, форматы, именованные диапазоны</t>
  </si>
  <si>
    <t>Must</t>
  </si>
  <si>
    <t>входит в проект</t>
  </si>
  <si>
    <t>Аудит модели: правила и инварианты, отчёт с находками по серьёзности и ссылками на ячейки</t>
  </si>
  <si>
    <t>Объяснение находок простым языком (LLM на основе данных движка)</t>
  </si>
  <si>
    <t>Предложение исправлений в виде плана правок (DSL) с повторной проверкой движком</t>
  </si>
  <si>
    <t>Сверка чисел в тексте отчёта с таблицей</t>
  </si>
  <si>
    <t>Экспорт: xlsx с исправлениями и PDF-отчёт аудита</t>
  </si>
  <si>
    <t>Регистрация (Google/Microsoft), тарифы Free/Pro и оплата через Stripe</t>
  </si>
  <si>
    <t>Надстройка для Excel с проверкой при каждой правке</t>
  </si>
  <si>
    <t>Ghost-подсказки формул в надстройке</t>
  </si>
  <si>
    <t>Should</t>
  </si>
  <si>
    <t>следующий релиз</t>
  </si>
  <si>
    <t>Командная палитра Cmd-K («добавь рост QoQ в %»)</t>
  </si>
  <si>
    <t>История версий документа и дифф «было → стало»</t>
  </si>
  <si>
    <t>Чистка данных (даты, валюты, дубликаты) через изолированную песочницу</t>
  </si>
  <si>
    <t>Could</t>
  </si>
  <si>
    <t>если останутся ресурсы</t>
  </si>
  <si>
    <t>Вопросы по данным с показом расчёта (SQL по DuckDB)</t>
  </si>
  <si>
    <t>Пользовательские инварианты («итог = сумма регионов»)</t>
  </si>
  <si>
    <t>Собственный редактор «текст и таблицы на одном холсте»</t>
  </si>
  <si>
    <t>Won't</t>
  </si>
  <si>
    <t>не делаем</t>
  </si>
  <si>
    <t>Enterprise-функции: SSO/SAML, SOC 2, выделенный регион</t>
  </si>
  <si>
    <t>Коннекторы к базам данных и Google Sheets</t>
  </si>
  <si>
    <t>Исполнение макросов VBA</t>
  </si>
  <si>
    <t>Сводка</t>
  </si>
  <si>
    <t>Количество</t>
  </si>
  <si>
    <t>Доля</t>
  </si>
  <si>
    <t>Всего</t>
  </si>
  <si>
    <t>Доля Must</t>
  </si>
  <si>
    <t>Требование шаблона: Must не более 60%</t>
  </si>
  <si>
    <t>Декомпозиция цели: иерархическая структура задач (ПЗ1, раздел 4.1)</t>
  </si>
  <si>
    <t>Этап</t>
  </si>
  <si>
    <t>Задача</t>
  </si>
  <si>
    <t>1</t>
  </si>
  <si>
    <t>Анализ и планирование</t>
  </si>
  <si>
    <t>1.0–2.0</t>
  </si>
  <si>
    <t>1.1</t>
  </si>
  <si>
    <t>Провести интервью с 10 аналитиками FP&amp;A и консультантами, зафиксировать типовые ошибки в моделях.</t>
  </si>
  <si>
    <t>1.2</t>
  </si>
  <si>
    <t>Проанализировать конкурентов (Microsoft 365 Copilot, ChatGPT for Excel, Claude for Excel, PerfectXL, Shortcut).</t>
  </si>
  <si>
    <t>1.3</t>
  </si>
  <si>
    <t>Приоритизировать требования по MoSCoW, утвердить ТЗ и KPI.</t>
  </si>
  <si>
    <t>1.4</t>
  </si>
  <si>
    <t>Подготовить политику конфиденциальности, условия использования и DPA.</t>
  </si>
  <si>
    <t>2</t>
  </si>
  <si>
    <t>Проектирование</t>
  </si>
  <si>
    <t>3.0–5.0</t>
  </si>
  <si>
    <t>2.1</t>
  </si>
  <si>
    <t>Спроектировать архитектуру модульного монолита, модель данных и контракт API; настроить CI/CD и окружения в ЕС.</t>
  </si>
  <si>
    <t>2.2</t>
  </si>
  <si>
    <t>Нарисовать в Figma страницы загрузки, отчёта аудита, цен и кабинета.</t>
  </si>
  <si>
    <t>2.3</t>
  </si>
  <si>
    <t>Провести 5 коридорных тестов прототипа страницы отчёта.</t>
  </si>
  <si>
    <t>2.4</t>
  </si>
  <si>
    <t>Собрать и разметить eval-набор: реальные, мутационные и чистые модели.</t>
  </si>
  <si>
    <t>3</t>
  </si>
  <si>
    <t>Разработка MVP веб-аудита</t>
  </si>
  <si>
    <t>6.0–9.0</t>
  </si>
  <si>
    <t>3.1</t>
  </si>
  <si>
    <t>Разработать парсер формул в AST, range graph и Profiler (Table Graph).</t>
  </si>
  <si>
    <t>3.2</t>
  </si>
  <si>
    <t>Реализовать 15 правил проверки и выведенные инварианты.</t>
  </si>
  <si>
    <t>3.3</t>
  </si>
  <si>
    <t>Разработать API загрузки файлов, авторизацию и очереди задач.</t>
  </si>
  <si>
    <t>3.4</t>
  </si>
  <si>
    <t>Сверстать лендинг и страницу отчёта аудита.</t>
  </si>
  <si>
    <t>3.5</t>
  </si>
  <si>
    <t>Интегрировать компоненты и выпустить закрытую бету MVP.</t>
  </si>
  <si>
    <t>4</t>
  </si>
  <si>
    <t>AI-слой и монетизация</t>
  </si>
  <si>
    <t>10.0–11.0</t>
  </si>
  <si>
    <t>4.1</t>
  </si>
  <si>
    <t>Подключить LLM gateway и генерировать объяснения находок.</t>
  </si>
  <si>
    <t>4.2</t>
  </si>
  <si>
    <t>Реализовать исправления через DSL с повторной верификацией и сверку текста с таблицей; экспорт исправленного xlsx и PDF-отчёта.</t>
  </si>
  <si>
    <t>4.3</t>
  </si>
  <si>
    <t>Подключить Stripe, тарифы и личный кабинет.</t>
  </si>
  <si>
    <t>5</t>
  </si>
  <si>
    <t>Надстройка для Excel</t>
  </si>
  <si>
    <t>12.0</t>
  </si>
  <si>
    <t>5.1</t>
  </si>
  <si>
    <t>Реализовать проверку при правке через WebSocket (p95 &lt; 500 мс).</t>
  </si>
  <si>
    <t>5.2</t>
  </si>
  <si>
    <t>Реализовать в надстройке панель находок и применение исправлений с повторной проверкой движком.</t>
  </si>
  <si>
    <t>5.3</t>
  </si>
  <si>
    <t>Протестировать надстройку в Excel для Windows, Mac и веб.</t>
  </si>
  <si>
    <t>6</t>
  </si>
  <si>
    <t>Тестирование, запуск и закрытие</t>
  </si>
  <si>
    <t>13.0–15.0</t>
  </si>
  <si>
    <t>6.1</t>
  </si>
  <si>
    <t>Провести бета-тест v1 с 50 пользователями (10–20 пилотных из этапа 1 и участники открытой беты) и доработать продукт.</t>
  </si>
  <si>
    <t>6.2</t>
  </si>
  <si>
    <t>Провести AI-eval, аудит безопасности (OWASP) и нагрузочное тестирование.</t>
  </si>
  <si>
    <t>6.3</t>
  </si>
  <si>
    <t>Опубликовать надстройку в Microsoft AppSource и выполнить публичный запуск.</t>
  </si>
  <si>
    <t>6.4</t>
  </si>
  <si>
    <t>Проанализировать метрики, закрыть проект и сформировать план развития.</t>
  </si>
  <si>
    <t>Этапов</t>
  </si>
  <si>
    <t>Задач</t>
  </si>
  <si>
    <t>Требование шаблона: 5–7 этапов, 15–25 задач</t>
  </si>
  <si>
    <t>Таблица 4.2 — Работы WBS, на которые ссылаются этапы декомпозиции (из плана ПЗ4)</t>
  </si>
  <si>
    <t>Код</t>
  </si>
  <si>
    <t>Работа WBS</t>
  </si>
  <si>
    <t>Начало</t>
  </si>
  <si>
    <t>Окончание</t>
  </si>
  <si>
    <t>Длительность, мес.</t>
  </si>
  <si>
    <t>Этап декомпозиции</t>
  </si>
  <si>
    <t>1.0</t>
  </si>
  <si>
    <t>Анализ требований, интервью с пользователями и утверждение ТЗ</t>
  </si>
  <si>
    <t>да</t>
  </si>
  <si>
    <t>2.0</t>
  </si>
  <si>
    <t>Юридическое оформление: политика конфиденциальности, условия, DPA</t>
  </si>
  <si>
    <t>нет</t>
  </si>
  <si>
    <t>3.0</t>
  </si>
  <si>
    <t>Проектирование архитектуры, модели данных и API; CI/CD и окружения в ЕС</t>
  </si>
  <si>
    <t>4.0</t>
  </si>
  <si>
    <t>UX/UI-дизайн в Figma и коридорные тесты</t>
  </si>
  <si>
    <t>5.0</t>
  </si>
  <si>
    <t>Сбор и разметка eval-набора (реальные, мутационные, чистые модели)</t>
  </si>
  <si>
    <t>6.0</t>
  </si>
  <si>
    <t>Разработка ядра верификации: парсер формул в AST, range graph, 15 правил</t>
  </si>
  <si>
    <t>7.0</t>
  </si>
  <si>
    <t>Разработка бэкенда веб-аудита: API, авторизация, загрузка, очереди</t>
  </si>
  <si>
    <t>8.0</t>
  </si>
  <si>
    <t>Разработка фронтенда веб-аудита и лендинга</t>
  </si>
  <si>
    <t>9.0</t>
  </si>
  <si>
    <t>Интеграция, тестирование и релиз MVP веб-аудита (закрытая бета)</t>
  </si>
  <si>
    <t>10.0</t>
  </si>
  <si>
    <t>AI-слой: LLM gateway, объяснения, исправления через DSL, сверка текста</t>
  </si>
  <si>
    <t>11.0</t>
  </si>
  <si>
    <t>Монетизация: тарифы, Stripe, личный кабинет</t>
  </si>
  <si>
    <t>Надстройка Excel: проверка при правке и панель находок</t>
  </si>
  <si>
    <t>13.0</t>
  </si>
  <si>
    <t>Бета-тестирование v1 с 50 пилотными пользователями и доработка</t>
  </si>
  <si>
    <t>14.0</t>
  </si>
  <si>
    <t>Комплексное тестирование: AI-eval, безопасность (OWASP), нагрузка</t>
  </si>
  <si>
    <t>15.0</t>
  </si>
  <si>
    <t>Публикация в AppSource, публичный запуск и закрытие проекта</t>
  </si>
  <si>
    <t>Старт проекта</t>
  </si>
  <si>
    <t>Завершение проекта</t>
  </si>
  <si>
    <t>Длительность проекта, мес.</t>
  </si>
  <si>
    <t>Сумма длительностей критических работ, мес.</t>
  </si>
  <si>
    <t>Анализ стейкхолдеров: идентификация, матрица и квадранты (ПЗ1, раздел 5)</t>
  </si>
  <si>
    <t>Стейкхолдер</t>
  </si>
  <si>
    <t>Тип</t>
  </si>
  <si>
    <t>Интерес (1–5)</t>
  </si>
  <si>
    <t>Влияние (1–5)</t>
  </si>
  <si>
    <t>Квадрант</t>
  </si>
  <si>
    <t>Стратегия</t>
  </si>
  <si>
    <t>Почему важен</t>
  </si>
  <si>
    <t>Основатель — владелец продукта (заказчик, источник финансирования)</t>
  </si>
  <si>
    <t>Внутренний</t>
  </si>
  <si>
    <t>Определяет видение и приоритеты, утверждает бюджет, объём и приёмку</t>
  </si>
  <si>
    <t>Отвечает за сроки, бюджет, риски и коммуникации, проводит ворота фаз</t>
  </si>
  <si>
    <t>Команда разработки (бэкенд, фронтенд, ML/LLM, дизайн, QA)</t>
  </si>
  <si>
    <t>Создаёт продукт, оценивает трудоёмкость, её компетенции определяют качество ядра</t>
  </si>
  <si>
    <t>Пилотные бета-пользователи из FP&amp;A и консалтинга</t>
  </si>
  <si>
    <t>Внешний</t>
  </si>
  <si>
    <t>Дают реальные модели для eval-набора и обратную связь, подтверждают ценность</t>
  </si>
  <si>
    <t>Конечные пользователи и покупатели (аналитики, бухгалтеры, основатели)</t>
  </si>
  <si>
    <t>Платят за подписку, от их конверсии зависит успех</t>
  </si>
  <si>
    <t>Провайдеры LLM API (OpenAI, Anthropic, Google)</t>
  </si>
  <si>
    <t>От цен и условий API зависят себестоимость и приватность; сами выпускают конкурирующие надстройки</t>
  </si>
  <si>
    <t>Microsoft (Excel, Office.js, AppSource)</t>
  </si>
  <si>
    <t>Платформа и канал дистрибуции надстройки, может отклонить публикацию или изменить API</t>
  </si>
  <si>
    <t>Регуляторы в сфере защиты данных (надзорные органы ЕС по GDPR, НЦЗПД РБ)</t>
  </si>
  <si>
    <t>Могут наложить штраф или ограничить обработку данных</t>
  </si>
  <si>
    <t>Платёжный провайдер Stripe</t>
  </si>
  <si>
    <t>Обеспечивает приём оплат и НДС ЕС</t>
  </si>
  <si>
    <t>Облачный хостинг в ЕС (Hetzner / AWS eu-central-1)</t>
  </si>
  <si>
    <t>Обеспечивает инфраструктуру и доступность</t>
  </si>
  <si>
    <t>Партнёры: бухгалтерские и консалтинговые фирмы, преподаватели Excel</t>
  </si>
  <si>
    <t>Канал продаж и доверия, в следующем релизе — продажи командного тарифа</t>
  </si>
  <si>
    <t>Конкуренты: независимые инструменты аудита таблиц (PerfectXL, Shortcut) и AI-надстройки платформ</t>
  </si>
  <si>
    <t>Могут снизить цены, скопировать функции или выпустить бесплатную проверку; определяют позиционирование и тарифы</t>
  </si>
  <si>
    <t>СМИ и профессиональные сообщества: отраслевые издания, блогеры по Excel и FP&amp;A, Product Hunt</t>
  </si>
  <si>
    <t>Формируют репутацию и узнаваемость при запуске, могут широко осветить ошибку или утечку</t>
  </si>
  <si>
    <t>Условие</t>
  </si>
  <si>
    <t>A</t>
  </si>
  <si>
    <t>Активное вовлечение</t>
  </si>
  <si>
    <t>влияние 4–5, интерес 3–5</t>
  </si>
  <si>
    <t>B</t>
  </si>
  <si>
    <t>Консультирование</t>
  </si>
  <si>
    <t>влияние 1–3, интерес 3–5</t>
  </si>
  <si>
    <t>C</t>
  </si>
  <si>
    <t>Минимальный контроль</t>
  </si>
  <si>
    <t>влияние 1–3, интерес 1–2</t>
  </si>
  <si>
    <t>D</t>
  </si>
  <si>
    <t>Минимальное информирование</t>
  </si>
  <si>
    <t>влияние 4–5, интерес 1–2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</si>
</sst>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\ ##0"/>
    <numFmt numFmtId="166" formatCode="dd\.mm\.yyyy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2"/>
      <color rgb="FF1F4E78"/>
      <name val="Calibri"/>
      <family val="2"/>
      <scheme val="minor"/>
    </font>
    <font>
      <i/>
      <sz val="12"/>
      <color rgb="FF59595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 wrapText="1"/>
    </xf>
    <xf numFmtId="165" fontId="6" fillId="3" borderId="1" xfId="0" applyNumberFormat="1" applyFont="1" applyFill="1" applyBorder="1" applyAlignment="1">
      <alignment horizontal="right" vertical="center" wrapText="1"/>
    </xf>
    <xf numFmtId="165" fontId="9" fillId="4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166" fontId="9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0" fillId="0" borderId="0" xfId="0" applyAlignment="1"/>
  </cellXfs>
  <cellStyles count="1">
    <cellStyle name="Обычный" xfId="0" builtinId="0"/>
  </cellStyles>
  <dxfs count="8"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DDEBF7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Матрица стейкхолдеров: интерес × влияние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Стейкхолдеры!$E$4</c:f>
              <c:strCache>
                <c:ptCount val="1"/>
                <c:pt idx="0">
                  <c:v>Влияние (1–5)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Стейкхолдеры!$D$5:$D$17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xVal>
          <c:yVal>
            <c:numRef>
              <c:f>Стейкхолдеры!$E$5:$E$17</c:f>
              <c:numCache>
                <c:formatCode>General</c:formatCode>
                <c:ptCount val="13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E-4714-B09A-5D07CD32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Интерес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Влияние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B24"/>
  <sheetViews>
    <sheetView tabSelected="1" workbookViewId="0"/>
  </sheetViews>
  <sheetFormatPr defaultRowHeight="14.25" x14ac:dyDescent="0.45"/>
  <cols>
    <col min="1" max="1" width="30" customWidth="1"/>
    <col min="2" max="2" width="95" customWidth="1"/>
  </cols>
  <sheetData>
    <row r="1" spans="1:2" s="36" customFormat="1" ht="18" x14ac:dyDescent="0.45">
      <c r="A1" s="3" t="s">
        <v>0</v>
      </c>
      <c r="B1" s="35"/>
    </row>
    <row r="2" spans="1:2" s="36" customFormat="1" ht="18" x14ac:dyDescent="0.45">
      <c r="A2" s="3" t="s">
        <v>1</v>
      </c>
      <c r="B2" s="35"/>
    </row>
    <row r="3" spans="1:2" ht="18" x14ac:dyDescent="0.45">
      <c r="A3" s="3" t="s">
        <v>2</v>
      </c>
      <c r="B3" s="2"/>
    </row>
    <row r="4" spans="1:2" ht="15.75" x14ac:dyDescent="0.45">
      <c r="A4" s="2"/>
      <c r="B4" s="2"/>
    </row>
    <row r="5" spans="1:2" ht="15.75" x14ac:dyDescent="0.45">
      <c r="A5" s="5" t="s">
        <v>3</v>
      </c>
      <c r="B5" s="5" t="s">
        <v>4</v>
      </c>
    </row>
    <row r="6" spans="1:2" ht="15.75" x14ac:dyDescent="0.45">
      <c r="A6" s="5" t="s">
        <v>5</v>
      </c>
      <c r="B6" s="5" t="s">
        <v>6</v>
      </c>
    </row>
    <row r="7" spans="1:2" ht="15.75" x14ac:dyDescent="0.45">
      <c r="A7" s="5" t="s">
        <v>7</v>
      </c>
      <c r="B7" s="5" t="s">
        <v>8</v>
      </c>
    </row>
    <row r="8" spans="1:2" ht="15.75" x14ac:dyDescent="0.45">
      <c r="A8" s="2"/>
      <c r="B8" s="2"/>
    </row>
    <row r="9" spans="1:2" ht="15.75" x14ac:dyDescent="0.45">
      <c r="A9" s="4" t="s">
        <v>9</v>
      </c>
      <c r="B9" s="2"/>
    </row>
    <row r="10" spans="1:2" ht="15.75" x14ac:dyDescent="0.45">
      <c r="A10" s="6" t="s">
        <v>10</v>
      </c>
      <c r="B10" s="6" t="s">
        <v>11</v>
      </c>
    </row>
    <row r="11" spans="1:2" ht="15.75" x14ac:dyDescent="0.45">
      <c r="A11" s="6" t="s">
        <v>12</v>
      </c>
      <c r="B11" s="6" t="str">
        <f>'Команда и бюджет'!E12&amp;" чел.-мес., 7 человек"</f>
        <v>57 чел.-мес., 7 человек</v>
      </c>
    </row>
    <row r="12" spans="1:2" ht="15.75" x14ac:dyDescent="0.45">
      <c r="A12" s="6" t="s">
        <v>13</v>
      </c>
      <c r="B12" s="7">
        <f>'Команда и бюджет'!C24</f>
        <v>517000</v>
      </c>
    </row>
    <row r="13" spans="1:2" ht="15.75" x14ac:dyDescent="0.45">
      <c r="A13" s="6" t="s">
        <v>14</v>
      </c>
      <c r="B13" s="7">
        <f>'Команда и бюджет'!C23</f>
        <v>47000</v>
      </c>
    </row>
    <row r="14" spans="1:2" ht="15.75" x14ac:dyDescent="0.45">
      <c r="A14" s="6" t="s">
        <v>15</v>
      </c>
      <c r="B14" s="6" t="str">
        <f>MoSCoW!C26&amp;" из "&amp;MoSCoW!C30&amp;" ("&amp;TEXT(MoSCoW!C31,"0%")&amp;")"</f>
        <v>8 из 18 (44%)</v>
      </c>
    </row>
    <row r="15" spans="1:2" ht="15.75" x14ac:dyDescent="0.45">
      <c r="A15" s="6" t="s">
        <v>16</v>
      </c>
      <c r="B15" s="6" t="s">
        <v>17</v>
      </c>
    </row>
    <row r="16" spans="1:2" ht="15.75" x14ac:dyDescent="0.45">
      <c r="A16" s="2"/>
      <c r="B16" s="2"/>
    </row>
    <row r="17" spans="1:2" ht="15.75" x14ac:dyDescent="0.45">
      <c r="A17" s="4" t="s">
        <v>18</v>
      </c>
      <c r="B17" s="2"/>
    </row>
    <row r="18" spans="1:2" ht="31.5" x14ac:dyDescent="0.45">
      <c r="A18" s="5" t="s">
        <v>19</v>
      </c>
      <c r="B18" s="5" t="s">
        <v>20</v>
      </c>
    </row>
    <row r="19" spans="1:2" ht="15.75" x14ac:dyDescent="0.45">
      <c r="A19" s="5" t="s">
        <v>21</v>
      </c>
      <c r="B19" s="5" t="s">
        <v>22</v>
      </c>
    </row>
    <row r="20" spans="1:2" ht="15.75" x14ac:dyDescent="0.45">
      <c r="A20" s="5" t="s">
        <v>23</v>
      </c>
      <c r="B20" s="5" t="s">
        <v>24</v>
      </c>
    </row>
    <row r="21" spans="1:2" ht="15.75" x14ac:dyDescent="0.45">
      <c r="A21" s="5" t="s">
        <v>25</v>
      </c>
      <c r="B21" s="5" t="s">
        <v>26</v>
      </c>
    </row>
    <row r="22" spans="1:2" ht="15.75" x14ac:dyDescent="0.45">
      <c r="A22" s="5" t="s">
        <v>27</v>
      </c>
      <c r="B22" s="5" t="s">
        <v>28</v>
      </c>
    </row>
    <row r="23" spans="1:2" ht="15.75" x14ac:dyDescent="0.45">
      <c r="A23" s="2"/>
      <c r="B23" s="2"/>
    </row>
    <row r="24" spans="1:2" ht="15.75" x14ac:dyDescent="0.45">
      <c r="A24" s="8" t="s">
        <v>29</v>
      </c>
      <c r="B24" s="2"/>
    </row>
  </sheetData>
  <pageMargins left="0.75" right="0.75" top="1" bottom="1" header="0.5" footer="0.5"/>
  <pageSetup paperSize="9" fitToHeight="0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E25"/>
  <sheetViews>
    <sheetView workbookViewId="0"/>
  </sheetViews>
  <sheetFormatPr defaultRowHeight="14.25" x14ac:dyDescent="0.45"/>
  <cols>
    <col min="1" max="1" width="6" customWidth="1"/>
    <col min="2" max="2" width="52" customWidth="1"/>
    <col min="3" max="3" width="14" customWidth="1"/>
    <col min="4" max="4" width="36" customWidth="1"/>
    <col min="5" max="5" width="12" customWidth="1"/>
  </cols>
  <sheetData>
    <row r="1" spans="1:5" s="36" customFormat="1" x14ac:dyDescent="0.45">
      <c r="A1" s="36" t="s">
        <v>30</v>
      </c>
    </row>
    <row r="2" spans="1:5" s="36" customFormat="1" x14ac:dyDescent="0.45">
      <c r="A2" s="11" t="s">
        <v>31</v>
      </c>
      <c r="B2" s="9"/>
      <c r="C2" s="9"/>
      <c r="D2" s="9"/>
      <c r="E2" s="9"/>
    </row>
    <row r="3" spans="1:5" x14ac:dyDescent="0.45">
      <c r="A3" s="9"/>
      <c r="B3" s="9"/>
      <c r="C3" s="9"/>
      <c r="D3" s="9"/>
      <c r="E3" s="9"/>
    </row>
    <row r="4" spans="1:5" x14ac:dyDescent="0.45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</row>
    <row r="5" spans="1:5" x14ac:dyDescent="0.45">
      <c r="A5" s="13">
        <v>1</v>
      </c>
      <c r="B5" s="12" t="s">
        <v>37</v>
      </c>
      <c r="C5" s="15">
        <v>0.5</v>
      </c>
      <c r="D5" s="14">
        <v>12</v>
      </c>
      <c r="E5" s="16">
        <f t="shared" ref="E5:E11" si="0">C5*D5</f>
        <v>6</v>
      </c>
    </row>
    <row r="6" spans="1:5" x14ac:dyDescent="0.45">
      <c r="A6" s="13">
        <v>2</v>
      </c>
      <c r="B6" s="12" t="s">
        <v>38</v>
      </c>
      <c r="C6" s="15">
        <v>1</v>
      </c>
      <c r="D6" s="14">
        <v>12</v>
      </c>
      <c r="E6" s="16">
        <f t="shared" si="0"/>
        <v>12</v>
      </c>
    </row>
    <row r="7" spans="1:5" x14ac:dyDescent="0.45">
      <c r="A7" s="13">
        <v>3</v>
      </c>
      <c r="B7" s="12" t="s">
        <v>39</v>
      </c>
      <c r="C7" s="15">
        <v>1</v>
      </c>
      <c r="D7" s="14">
        <v>11</v>
      </c>
      <c r="E7" s="16">
        <f t="shared" si="0"/>
        <v>11</v>
      </c>
    </row>
    <row r="8" spans="1:5" x14ac:dyDescent="0.45">
      <c r="A8" s="13">
        <v>4</v>
      </c>
      <c r="B8" s="12" t="s">
        <v>40</v>
      </c>
      <c r="C8" s="15">
        <v>1</v>
      </c>
      <c r="D8" s="14">
        <v>10</v>
      </c>
      <c r="E8" s="16">
        <f t="shared" si="0"/>
        <v>10</v>
      </c>
    </row>
    <row r="9" spans="1:5" x14ac:dyDescent="0.45">
      <c r="A9" s="13">
        <v>5</v>
      </c>
      <c r="B9" s="12" t="s">
        <v>41</v>
      </c>
      <c r="C9" s="15">
        <v>1</v>
      </c>
      <c r="D9" s="14">
        <v>10</v>
      </c>
      <c r="E9" s="16">
        <f t="shared" si="0"/>
        <v>10</v>
      </c>
    </row>
    <row r="10" spans="1:5" x14ac:dyDescent="0.45">
      <c r="A10" s="13">
        <v>6</v>
      </c>
      <c r="B10" s="12" t="s">
        <v>42</v>
      </c>
      <c r="C10" s="15">
        <v>0.5</v>
      </c>
      <c r="D10" s="14">
        <v>4</v>
      </c>
      <c r="E10" s="16">
        <f t="shared" si="0"/>
        <v>2</v>
      </c>
    </row>
    <row r="11" spans="1:5" x14ac:dyDescent="0.45">
      <c r="A11" s="13">
        <v>7</v>
      </c>
      <c r="B11" s="12" t="s">
        <v>43</v>
      </c>
      <c r="C11" s="15">
        <v>0.75</v>
      </c>
      <c r="D11" s="14">
        <v>8</v>
      </c>
      <c r="E11" s="16">
        <f t="shared" si="0"/>
        <v>6</v>
      </c>
    </row>
    <row r="12" spans="1:5" x14ac:dyDescent="0.45">
      <c r="A12" s="17"/>
      <c r="B12" s="17" t="s">
        <v>44</v>
      </c>
      <c r="C12" s="17"/>
      <c r="D12" s="17"/>
      <c r="E12" s="18">
        <f>SUM(E5:E11)</f>
        <v>57</v>
      </c>
    </row>
    <row r="13" spans="1:5" x14ac:dyDescent="0.45">
      <c r="A13" s="9"/>
      <c r="B13" s="9"/>
      <c r="C13" s="9"/>
      <c r="D13" s="9"/>
      <c r="E13" s="9"/>
    </row>
    <row r="14" spans="1:5" x14ac:dyDescent="0.45">
      <c r="A14" s="9"/>
      <c r="B14" s="9" t="s">
        <v>45</v>
      </c>
      <c r="C14" s="19">
        <v>7500</v>
      </c>
      <c r="D14" s="11" t="s">
        <v>46</v>
      </c>
      <c r="E14" s="9"/>
    </row>
    <row r="15" spans="1:5" x14ac:dyDescent="0.45">
      <c r="A15" s="9"/>
      <c r="B15" s="9" t="s">
        <v>47</v>
      </c>
      <c r="C15" s="20">
        <v>0.1</v>
      </c>
      <c r="D15" s="9"/>
      <c r="E15" s="9"/>
    </row>
    <row r="16" spans="1:5" ht="15.75" x14ac:dyDescent="0.45">
      <c r="A16" s="1" t="s">
        <v>32</v>
      </c>
      <c r="B16" s="1" t="s">
        <v>48</v>
      </c>
      <c r="C16" s="1" t="s">
        <v>49</v>
      </c>
      <c r="D16" s="1" t="s">
        <v>50</v>
      </c>
      <c r="E16" s="9"/>
    </row>
    <row r="17" spans="1:5" x14ac:dyDescent="0.45">
      <c r="A17" s="13">
        <v>1</v>
      </c>
      <c r="B17" s="12" t="s">
        <v>51</v>
      </c>
      <c r="C17" s="21">
        <f>E12*C14</f>
        <v>427500</v>
      </c>
      <c r="D17" s="12" t="s">
        <v>52</v>
      </c>
      <c r="E17" s="9"/>
    </row>
    <row r="18" spans="1:5" x14ac:dyDescent="0.45">
      <c r="A18" s="13">
        <v>2</v>
      </c>
      <c r="B18" s="12" t="s">
        <v>53</v>
      </c>
      <c r="C18" s="22">
        <v>15000</v>
      </c>
      <c r="D18" s="12"/>
      <c r="E18" s="9"/>
    </row>
    <row r="19" spans="1:5" x14ac:dyDescent="0.45">
      <c r="A19" s="13">
        <v>3</v>
      </c>
      <c r="B19" s="12" t="s">
        <v>54</v>
      </c>
      <c r="C19" s="22">
        <v>8000</v>
      </c>
      <c r="D19" s="12"/>
      <c r="E19" s="9"/>
    </row>
    <row r="20" spans="1:5" x14ac:dyDescent="0.45">
      <c r="A20" s="13">
        <v>4</v>
      </c>
      <c r="B20" s="12" t="s">
        <v>55</v>
      </c>
      <c r="C20" s="22">
        <v>5000</v>
      </c>
      <c r="D20" s="12"/>
      <c r="E20" s="9"/>
    </row>
    <row r="21" spans="1:5" x14ac:dyDescent="0.45">
      <c r="A21" s="13">
        <v>5</v>
      </c>
      <c r="B21" s="12" t="s">
        <v>56</v>
      </c>
      <c r="C21" s="22">
        <v>14500</v>
      </c>
      <c r="D21" s="12"/>
      <c r="E21" s="9"/>
    </row>
    <row r="22" spans="1:5" x14ac:dyDescent="0.45">
      <c r="A22" s="17"/>
      <c r="B22" s="17" t="s">
        <v>57</v>
      </c>
      <c r="C22" s="23">
        <f>SUM(C17:C21)</f>
        <v>470000</v>
      </c>
      <c r="D22" s="17"/>
      <c r="E22" s="9"/>
    </row>
    <row r="23" spans="1:5" x14ac:dyDescent="0.45">
      <c r="A23" s="17"/>
      <c r="B23" s="17" t="s">
        <v>58</v>
      </c>
      <c r="C23" s="23">
        <f>C22*C15</f>
        <v>47000</v>
      </c>
      <c r="D23" s="17" t="s">
        <v>59</v>
      </c>
      <c r="E23" s="9"/>
    </row>
    <row r="24" spans="1:5" x14ac:dyDescent="0.45">
      <c r="A24" s="17"/>
      <c r="B24" s="17" t="s">
        <v>60</v>
      </c>
      <c r="C24" s="23">
        <f>C22+C23</f>
        <v>517000</v>
      </c>
      <c r="D24" s="17"/>
      <c r="E24" s="9"/>
    </row>
    <row r="25" spans="1:5" x14ac:dyDescent="0.45">
      <c r="A25" s="9"/>
      <c r="B25" s="11" t="s">
        <v>61</v>
      </c>
      <c r="C25" s="9"/>
      <c r="D25" s="9"/>
      <c r="E25" s="9"/>
    </row>
  </sheetData>
  <pageMargins left="0.75" right="0.75" top="1" bottom="1" header="0.5" footer="0.5"/>
  <pageSetup paperSize="9" fitToHeight="0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D3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9" customWidth="1"/>
    <col min="2" max="2" width="70" customWidth="1"/>
    <col min="3" max="3" width="14" customWidth="1"/>
    <col min="4" max="4" width="24" customWidth="1"/>
  </cols>
  <sheetData>
    <row r="1" spans="1:4" s="36" customFormat="1" ht="18" x14ac:dyDescent="0.45">
      <c r="A1" s="24" t="s">
        <v>62</v>
      </c>
      <c r="B1" s="9"/>
      <c r="C1" s="9"/>
      <c r="D1" s="9"/>
    </row>
    <row r="2" spans="1:4" s="36" customFormat="1" x14ac:dyDescent="0.45">
      <c r="A2" s="11" t="s">
        <v>31</v>
      </c>
      <c r="B2" s="9"/>
      <c r="C2" s="9"/>
      <c r="D2" s="9"/>
    </row>
    <row r="3" spans="1:4" x14ac:dyDescent="0.45">
      <c r="A3" s="9"/>
      <c r="B3" s="9"/>
      <c r="C3" s="9"/>
      <c r="D3" s="9"/>
    </row>
    <row r="4" spans="1:4" ht="15.75" x14ac:dyDescent="0.45">
      <c r="A4" s="1" t="s">
        <v>32</v>
      </c>
      <c r="B4" s="1" t="s">
        <v>63</v>
      </c>
      <c r="C4" s="1" t="s">
        <v>64</v>
      </c>
      <c r="D4" s="1" t="s">
        <v>65</v>
      </c>
    </row>
    <row r="5" spans="1:4" x14ac:dyDescent="0.45">
      <c r="A5" s="13">
        <v>1</v>
      </c>
      <c r="B5" s="12" t="s">
        <v>66</v>
      </c>
      <c r="C5" s="25" t="s">
        <v>67</v>
      </c>
      <c r="D5" s="12" t="s">
        <v>68</v>
      </c>
    </row>
    <row r="6" spans="1:4" ht="28.5" x14ac:dyDescent="0.45">
      <c r="A6" s="13">
        <v>2</v>
      </c>
      <c r="B6" s="12" t="s">
        <v>69</v>
      </c>
      <c r="C6" s="25" t="s">
        <v>67</v>
      </c>
      <c r="D6" s="12" t="s">
        <v>68</v>
      </c>
    </row>
    <row r="7" spans="1:4" x14ac:dyDescent="0.45">
      <c r="A7" s="13">
        <v>3</v>
      </c>
      <c r="B7" s="12" t="s">
        <v>70</v>
      </c>
      <c r="C7" s="25" t="s">
        <v>67</v>
      </c>
      <c r="D7" s="12" t="s">
        <v>68</v>
      </c>
    </row>
    <row r="8" spans="1:4" ht="28.5" x14ac:dyDescent="0.45">
      <c r="A8" s="13">
        <v>4</v>
      </c>
      <c r="B8" s="12" t="s">
        <v>71</v>
      </c>
      <c r="C8" s="25" t="s">
        <v>67</v>
      </c>
      <c r="D8" s="12" t="s">
        <v>68</v>
      </c>
    </row>
    <row r="9" spans="1:4" x14ac:dyDescent="0.45">
      <c r="A9" s="13">
        <v>5</v>
      </c>
      <c r="B9" s="12" t="s">
        <v>72</v>
      </c>
      <c r="C9" s="25" t="s">
        <v>67</v>
      </c>
      <c r="D9" s="12" t="s">
        <v>68</v>
      </c>
    </row>
    <row r="10" spans="1:4" x14ac:dyDescent="0.45">
      <c r="A10" s="13">
        <v>6</v>
      </c>
      <c r="B10" s="12" t="s">
        <v>73</v>
      </c>
      <c r="C10" s="25" t="s">
        <v>67</v>
      </c>
      <c r="D10" s="12" t="s">
        <v>68</v>
      </c>
    </row>
    <row r="11" spans="1:4" x14ac:dyDescent="0.45">
      <c r="A11" s="13">
        <v>7</v>
      </c>
      <c r="B11" s="12" t="s">
        <v>74</v>
      </c>
      <c r="C11" s="25" t="s">
        <v>67</v>
      </c>
      <c r="D11" s="12" t="s">
        <v>68</v>
      </c>
    </row>
    <row r="12" spans="1:4" x14ac:dyDescent="0.45">
      <c r="A12" s="13">
        <v>8</v>
      </c>
      <c r="B12" s="12" t="s">
        <v>75</v>
      </c>
      <c r="C12" s="25" t="s">
        <v>67</v>
      </c>
      <c r="D12" s="12" t="s">
        <v>68</v>
      </c>
    </row>
    <row r="13" spans="1:4" x14ac:dyDescent="0.45">
      <c r="A13" s="13">
        <v>9</v>
      </c>
      <c r="B13" s="12" t="s">
        <v>76</v>
      </c>
      <c r="C13" s="25" t="s">
        <v>77</v>
      </c>
      <c r="D13" s="12" t="s">
        <v>78</v>
      </c>
    </row>
    <row r="14" spans="1:4" x14ac:dyDescent="0.45">
      <c r="A14" s="13">
        <v>10</v>
      </c>
      <c r="B14" s="12" t="s">
        <v>79</v>
      </c>
      <c r="C14" s="25" t="s">
        <v>77</v>
      </c>
      <c r="D14" s="12" t="s">
        <v>78</v>
      </c>
    </row>
    <row r="15" spans="1:4" x14ac:dyDescent="0.45">
      <c r="A15" s="13">
        <v>11</v>
      </c>
      <c r="B15" s="12" t="s">
        <v>80</v>
      </c>
      <c r="C15" s="25" t="s">
        <v>77</v>
      </c>
      <c r="D15" s="12" t="s">
        <v>78</v>
      </c>
    </row>
    <row r="16" spans="1:4" x14ac:dyDescent="0.45">
      <c r="A16" s="13">
        <v>12</v>
      </c>
      <c r="B16" s="12" t="s">
        <v>81</v>
      </c>
      <c r="C16" s="25" t="s">
        <v>82</v>
      </c>
      <c r="D16" s="12" t="s">
        <v>83</v>
      </c>
    </row>
    <row r="17" spans="1:4" x14ac:dyDescent="0.45">
      <c r="A17" s="13">
        <v>13</v>
      </c>
      <c r="B17" s="12" t="s">
        <v>84</v>
      </c>
      <c r="C17" s="25" t="s">
        <v>82</v>
      </c>
      <c r="D17" s="12" t="s">
        <v>83</v>
      </c>
    </row>
    <row r="18" spans="1:4" x14ac:dyDescent="0.45">
      <c r="A18" s="13">
        <v>14</v>
      </c>
      <c r="B18" s="12" t="s">
        <v>85</v>
      </c>
      <c r="C18" s="25" t="s">
        <v>82</v>
      </c>
      <c r="D18" s="12" t="s">
        <v>83</v>
      </c>
    </row>
    <row r="19" spans="1:4" x14ac:dyDescent="0.45">
      <c r="A19" s="13">
        <v>15</v>
      </c>
      <c r="B19" s="12" t="s">
        <v>86</v>
      </c>
      <c r="C19" s="25" t="s">
        <v>87</v>
      </c>
      <c r="D19" s="12" t="s">
        <v>88</v>
      </c>
    </row>
    <row r="20" spans="1:4" x14ac:dyDescent="0.45">
      <c r="A20" s="13">
        <v>16</v>
      </c>
      <c r="B20" s="12" t="s">
        <v>89</v>
      </c>
      <c r="C20" s="25" t="s">
        <v>87</v>
      </c>
      <c r="D20" s="12" t="s">
        <v>88</v>
      </c>
    </row>
    <row r="21" spans="1:4" x14ac:dyDescent="0.45">
      <c r="A21" s="13">
        <v>17</v>
      </c>
      <c r="B21" s="12" t="s">
        <v>90</v>
      </c>
      <c r="C21" s="25" t="s">
        <v>87</v>
      </c>
      <c r="D21" s="12" t="s">
        <v>88</v>
      </c>
    </row>
    <row r="22" spans="1:4" x14ac:dyDescent="0.45">
      <c r="A22" s="13">
        <v>18</v>
      </c>
      <c r="B22" s="12" t="s">
        <v>91</v>
      </c>
      <c r="C22" s="25" t="s">
        <v>87</v>
      </c>
      <c r="D22" s="12" t="s">
        <v>88</v>
      </c>
    </row>
    <row r="23" spans="1:4" x14ac:dyDescent="0.45">
      <c r="A23" s="9"/>
      <c r="B23" s="9"/>
      <c r="C23" s="9"/>
      <c r="D23" s="9"/>
    </row>
    <row r="24" spans="1:4" x14ac:dyDescent="0.45">
      <c r="A24" s="9"/>
      <c r="B24" s="9"/>
      <c r="C24" s="9"/>
      <c r="D24" s="9"/>
    </row>
    <row r="25" spans="1:4" ht="15.75" x14ac:dyDescent="0.45">
      <c r="A25" s="1" t="s">
        <v>92</v>
      </c>
      <c r="B25" s="1" t="s">
        <v>64</v>
      </c>
      <c r="C25" s="1" t="s">
        <v>93</v>
      </c>
      <c r="D25" s="1" t="s">
        <v>94</v>
      </c>
    </row>
    <row r="26" spans="1:4" x14ac:dyDescent="0.45">
      <c r="A26" s="9"/>
      <c r="B26" s="12" t="s">
        <v>67</v>
      </c>
      <c r="C26" s="16">
        <f>COUNTIF($C$5:$C$22,B26)</f>
        <v>8</v>
      </c>
      <c r="D26" s="26">
        <f>C26/$C$30</f>
        <v>0.44444444444444442</v>
      </c>
    </row>
    <row r="27" spans="1:4" x14ac:dyDescent="0.45">
      <c r="A27" s="9"/>
      <c r="B27" s="12" t="s">
        <v>77</v>
      </c>
      <c r="C27" s="16">
        <f>COUNTIF($C$5:$C$22,B27)</f>
        <v>3</v>
      </c>
      <c r="D27" s="26">
        <f>C27/$C$30</f>
        <v>0.16666666666666666</v>
      </c>
    </row>
    <row r="28" spans="1:4" x14ac:dyDescent="0.45">
      <c r="A28" s="9"/>
      <c r="B28" s="12" t="s">
        <v>82</v>
      </c>
      <c r="C28" s="16">
        <f>COUNTIF($C$5:$C$22,B28)</f>
        <v>3</v>
      </c>
      <c r="D28" s="26">
        <f>C28/$C$30</f>
        <v>0.16666666666666666</v>
      </c>
    </row>
    <row r="29" spans="1:4" x14ac:dyDescent="0.45">
      <c r="A29" s="9"/>
      <c r="B29" s="12" t="s">
        <v>87</v>
      </c>
      <c r="C29" s="16">
        <f>COUNTIF($C$5:$C$22,B29)</f>
        <v>4</v>
      </c>
      <c r="D29" s="26">
        <f>C29/$C$30</f>
        <v>0.22222222222222221</v>
      </c>
    </row>
    <row r="30" spans="1:4" x14ac:dyDescent="0.45">
      <c r="A30" s="9"/>
      <c r="B30" s="17" t="s">
        <v>95</v>
      </c>
      <c r="C30" s="18">
        <f>SUM(C26:C29)</f>
        <v>18</v>
      </c>
      <c r="D30" s="27">
        <f>SUM(D26:D29)</f>
        <v>0.99999999999999989</v>
      </c>
    </row>
    <row r="31" spans="1:4" x14ac:dyDescent="0.45">
      <c r="A31" s="9"/>
      <c r="B31" s="17" t="s">
        <v>96</v>
      </c>
      <c r="C31" s="27">
        <f>C26/C30</f>
        <v>0.44444444444444442</v>
      </c>
      <c r="D31" s="17"/>
    </row>
    <row r="32" spans="1:4" x14ac:dyDescent="0.45">
      <c r="A32" s="9"/>
      <c r="B32" s="17" t="s">
        <v>97</v>
      </c>
      <c r="C32" s="17" t="str">
        <f>IF(C31&lt;=0.6,"выполнено","не выполнено")</f>
        <v>выполнено</v>
      </c>
      <c r="D32" s="17"/>
    </row>
  </sheetData>
  <conditionalFormatting sqref="C5:C22">
    <cfRule type="expression" dxfId="7" priority="1">
      <formula>$C5="Must"</formula>
    </cfRule>
  </conditionalFormatting>
  <pageMargins left="0.75" right="0.75" top="1" bottom="1" header="0.5" footer="0.5"/>
  <pageSetup paperSize="9" fitToHeight="0" orientation="landscape" r:id="rId1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D37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8" customWidth="1"/>
    <col min="2" max="2" width="36" customWidth="1"/>
    <col min="3" max="3" width="80" customWidth="1"/>
    <col min="4" max="4" width="14" customWidth="1"/>
  </cols>
  <sheetData>
    <row r="1" spans="1:4" s="36" customFormat="1" ht="18" x14ac:dyDescent="0.45">
      <c r="A1" s="24" t="s">
        <v>98</v>
      </c>
      <c r="B1" s="9"/>
      <c r="C1" s="9"/>
      <c r="D1" s="9"/>
    </row>
    <row r="2" spans="1:4" s="36" customFormat="1" x14ac:dyDescent="0.45">
      <c r="A2" s="11" t="s">
        <v>31</v>
      </c>
      <c r="B2" s="9"/>
      <c r="C2" s="9"/>
      <c r="D2" s="9"/>
    </row>
    <row r="3" spans="1:4" x14ac:dyDescent="0.45">
      <c r="A3" s="9"/>
      <c r="B3" s="9"/>
      <c r="C3" s="9"/>
      <c r="D3" s="9"/>
    </row>
    <row r="4" spans="1:4" ht="15.75" x14ac:dyDescent="0.45">
      <c r="A4" s="1" t="s">
        <v>32</v>
      </c>
      <c r="B4" s="1" t="s">
        <v>99</v>
      </c>
      <c r="C4" s="1" t="s">
        <v>100</v>
      </c>
      <c r="D4" s="1" t="s">
        <v>25</v>
      </c>
    </row>
    <row r="5" spans="1:4" x14ac:dyDescent="0.45">
      <c r="A5" s="30" t="s">
        <v>101</v>
      </c>
      <c r="B5" s="31" t="s">
        <v>102</v>
      </c>
      <c r="C5" s="31"/>
      <c r="D5" s="32" t="s">
        <v>103</v>
      </c>
    </row>
    <row r="6" spans="1:4" ht="28.5" x14ac:dyDescent="0.45">
      <c r="A6" s="28" t="s">
        <v>104</v>
      </c>
      <c r="B6" s="12"/>
      <c r="C6" s="12" t="s">
        <v>105</v>
      </c>
      <c r="D6" s="13"/>
    </row>
    <row r="7" spans="1:4" ht="28.5" x14ac:dyDescent="0.45">
      <c r="A7" s="28" t="s">
        <v>106</v>
      </c>
      <c r="B7" s="12"/>
      <c r="C7" s="12" t="s">
        <v>107</v>
      </c>
      <c r="D7" s="13"/>
    </row>
    <row r="8" spans="1:4" x14ac:dyDescent="0.45">
      <c r="A8" s="28" t="s">
        <v>108</v>
      </c>
      <c r="B8" s="12"/>
      <c r="C8" s="12" t="s">
        <v>109</v>
      </c>
      <c r="D8" s="13"/>
    </row>
    <row r="9" spans="1:4" x14ac:dyDescent="0.45">
      <c r="A9" s="28" t="s">
        <v>110</v>
      </c>
      <c r="B9" s="12"/>
      <c r="C9" s="12" t="s">
        <v>111</v>
      </c>
      <c r="D9" s="13"/>
    </row>
    <row r="10" spans="1:4" x14ac:dyDescent="0.45">
      <c r="A10" s="30" t="s">
        <v>112</v>
      </c>
      <c r="B10" s="31" t="s">
        <v>113</v>
      </c>
      <c r="C10" s="31"/>
      <c r="D10" s="32" t="s">
        <v>114</v>
      </c>
    </row>
    <row r="11" spans="1:4" ht="28.5" x14ac:dyDescent="0.45">
      <c r="A11" s="28" t="s">
        <v>115</v>
      </c>
      <c r="B11" s="12"/>
      <c r="C11" s="12" t="s">
        <v>116</v>
      </c>
      <c r="D11" s="13"/>
    </row>
    <row r="12" spans="1:4" x14ac:dyDescent="0.45">
      <c r="A12" s="28" t="s">
        <v>117</v>
      </c>
      <c r="B12" s="12"/>
      <c r="C12" s="12" t="s">
        <v>118</v>
      </c>
      <c r="D12" s="13"/>
    </row>
    <row r="13" spans="1:4" x14ac:dyDescent="0.45">
      <c r="A13" s="28" t="s">
        <v>119</v>
      </c>
      <c r="B13" s="12"/>
      <c r="C13" s="12" t="s">
        <v>120</v>
      </c>
      <c r="D13" s="13"/>
    </row>
    <row r="14" spans="1:4" x14ac:dyDescent="0.45">
      <c r="A14" s="28" t="s">
        <v>121</v>
      </c>
      <c r="B14" s="12"/>
      <c r="C14" s="12" t="s">
        <v>122</v>
      </c>
      <c r="D14" s="13"/>
    </row>
    <row r="15" spans="1:4" x14ac:dyDescent="0.45">
      <c r="A15" s="30" t="s">
        <v>123</v>
      </c>
      <c r="B15" s="31" t="s">
        <v>124</v>
      </c>
      <c r="C15" s="31"/>
      <c r="D15" s="32" t="s">
        <v>125</v>
      </c>
    </row>
    <row r="16" spans="1:4" x14ac:dyDescent="0.45">
      <c r="A16" s="28" t="s">
        <v>126</v>
      </c>
      <c r="B16" s="12"/>
      <c r="C16" s="12" t="s">
        <v>127</v>
      </c>
      <c r="D16" s="13"/>
    </row>
    <row r="17" spans="1:4" x14ac:dyDescent="0.45">
      <c r="A17" s="28" t="s">
        <v>128</v>
      </c>
      <c r="B17" s="12"/>
      <c r="C17" s="12" t="s">
        <v>129</v>
      </c>
      <c r="D17" s="13"/>
    </row>
    <row r="18" spans="1:4" x14ac:dyDescent="0.45">
      <c r="A18" s="28" t="s">
        <v>130</v>
      </c>
      <c r="B18" s="12"/>
      <c r="C18" s="12" t="s">
        <v>131</v>
      </c>
      <c r="D18" s="13"/>
    </row>
    <row r="19" spans="1:4" x14ac:dyDescent="0.45">
      <c r="A19" s="28" t="s">
        <v>132</v>
      </c>
      <c r="B19" s="12"/>
      <c r="C19" s="12" t="s">
        <v>133</v>
      </c>
      <c r="D19" s="13"/>
    </row>
    <row r="20" spans="1:4" x14ac:dyDescent="0.45">
      <c r="A20" s="28" t="s">
        <v>134</v>
      </c>
      <c r="B20" s="12"/>
      <c r="C20" s="12" t="s">
        <v>135</v>
      </c>
      <c r="D20" s="13"/>
    </row>
    <row r="21" spans="1:4" x14ac:dyDescent="0.45">
      <c r="A21" s="30" t="s">
        <v>136</v>
      </c>
      <c r="B21" s="31" t="s">
        <v>137</v>
      </c>
      <c r="C21" s="31"/>
      <c r="D21" s="32" t="s">
        <v>138</v>
      </c>
    </row>
    <row r="22" spans="1:4" x14ac:dyDescent="0.45">
      <c r="A22" s="28" t="s">
        <v>139</v>
      </c>
      <c r="B22" s="12"/>
      <c r="C22" s="12" t="s">
        <v>140</v>
      </c>
      <c r="D22" s="13"/>
    </row>
    <row r="23" spans="1:4" ht="28.5" x14ac:dyDescent="0.45">
      <c r="A23" s="28" t="s">
        <v>141</v>
      </c>
      <c r="B23" s="12"/>
      <c r="C23" s="12" t="s">
        <v>142</v>
      </c>
      <c r="D23" s="13"/>
    </row>
    <row r="24" spans="1:4" x14ac:dyDescent="0.45">
      <c r="A24" s="28" t="s">
        <v>143</v>
      </c>
      <c r="B24" s="12"/>
      <c r="C24" s="12" t="s">
        <v>144</v>
      </c>
      <c r="D24" s="13"/>
    </row>
    <row r="25" spans="1:4" x14ac:dyDescent="0.45">
      <c r="A25" s="30" t="s">
        <v>145</v>
      </c>
      <c r="B25" s="31" t="s">
        <v>146</v>
      </c>
      <c r="C25" s="31"/>
      <c r="D25" s="32" t="s">
        <v>147</v>
      </c>
    </row>
    <row r="26" spans="1:4" x14ac:dyDescent="0.45">
      <c r="A26" s="28" t="s">
        <v>148</v>
      </c>
      <c r="B26" s="12"/>
      <c r="C26" s="12" t="s">
        <v>149</v>
      </c>
      <c r="D26" s="13"/>
    </row>
    <row r="27" spans="1:4" ht="28.5" x14ac:dyDescent="0.45">
      <c r="A27" s="28" t="s">
        <v>150</v>
      </c>
      <c r="B27" s="12"/>
      <c r="C27" s="12" t="s">
        <v>151</v>
      </c>
      <c r="D27" s="13"/>
    </row>
    <row r="28" spans="1:4" x14ac:dyDescent="0.45">
      <c r="A28" s="28" t="s">
        <v>152</v>
      </c>
      <c r="B28" s="12"/>
      <c r="C28" s="12" t="s">
        <v>153</v>
      </c>
      <c r="D28" s="13"/>
    </row>
    <row r="29" spans="1:4" x14ac:dyDescent="0.45">
      <c r="A29" s="30" t="s">
        <v>154</v>
      </c>
      <c r="B29" s="31" t="s">
        <v>155</v>
      </c>
      <c r="C29" s="31"/>
      <c r="D29" s="32" t="s">
        <v>156</v>
      </c>
    </row>
    <row r="30" spans="1:4" ht="28.5" x14ac:dyDescent="0.45">
      <c r="A30" s="28" t="s">
        <v>157</v>
      </c>
      <c r="B30" s="12"/>
      <c r="C30" s="12" t="s">
        <v>158</v>
      </c>
      <c r="D30" s="13"/>
    </row>
    <row r="31" spans="1:4" x14ac:dyDescent="0.45">
      <c r="A31" s="28" t="s">
        <v>159</v>
      </c>
      <c r="B31" s="12"/>
      <c r="C31" s="12" t="s">
        <v>160</v>
      </c>
      <c r="D31" s="13"/>
    </row>
    <row r="32" spans="1:4" x14ac:dyDescent="0.45">
      <c r="A32" s="28" t="s">
        <v>161</v>
      </c>
      <c r="B32" s="12"/>
      <c r="C32" s="12" t="s">
        <v>162</v>
      </c>
      <c r="D32" s="13"/>
    </row>
    <row r="33" spans="1:4" x14ac:dyDescent="0.45">
      <c r="A33" s="28" t="s">
        <v>163</v>
      </c>
      <c r="B33" s="12"/>
      <c r="C33" s="12" t="s">
        <v>164</v>
      </c>
      <c r="D33" s="13"/>
    </row>
    <row r="34" spans="1:4" x14ac:dyDescent="0.45">
      <c r="A34" s="9"/>
      <c r="B34" s="9"/>
      <c r="C34" s="9"/>
      <c r="D34" s="9"/>
    </row>
    <row r="35" spans="1:4" x14ac:dyDescent="0.45">
      <c r="A35" s="9"/>
      <c r="B35" s="17" t="s">
        <v>165</v>
      </c>
      <c r="C35" s="29">
        <f>COUNTA(B5:B33)</f>
        <v>6</v>
      </c>
      <c r="D35" s="9"/>
    </row>
    <row r="36" spans="1:4" x14ac:dyDescent="0.45">
      <c r="A36" s="9"/>
      <c r="B36" s="17" t="s">
        <v>166</v>
      </c>
      <c r="C36" s="29">
        <f>COUNTA(C5:C33)</f>
        <v>23</v>
      </c>
      <c r="D36" s="9"/>
    </row>
    <row r="37" spans="1:4" ht="28.5" x14ac:dyDescent="0.45">
      <c r="A37" s="9"/>
      <c r="B37" s="17" t="s">
        <v>167</v>
      </c>
      <c r="C37" s="29" t="str">
        <f>IF(AND(C35&gt;=5,C35&lt;=7,C36&gt;=15,C36&lt;=25),"выполнено","не выполнено")</f>
        <v>выполнено</v>
      </c>
      <c r="D37" s="9"/>
    </row>
  </sheetData>
  <conditionalFormatting sqref="A5:D33">
    <cfRule type="expression" dxfId="6" priority="1">
      <formula>$B5&lt;&gt;""</formula>
    </cfRule>
  </conditionalFormatting>
  <pageMargins left="0.75" right="0.75" top="1" bottom="1" header="0.5" footer="0.5"/>
  <pageSetup paperSize="9" scale="94" fitToHeight="0" orientation="landscape" r:id="rId1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G2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8" customWidth="1"/>
    <col min="2" max="2" width="70" customWidth="1"/>
    <col min="3" max="4" width="13" customWidth="1"/>
    <col min="5" max="6" width="14" customWidth="1"/>
    <col min="7" max="7" width="13" customWidth="1"/>
  </cols>
  <sheetData>
    <row r="1" spans="1:7" s="36" customFormat="1" ht="18" x14ac:dyDescent="0.45">
      <c r="A1" s="24" t="s">
        <v>168</v>
      </c>
      <c r="B1" s="9"/>
      <c r="C1" s="9"/>
      <c r="D1" s="9"/>
      <c r="E1" s="9"/>
      <c r="F1" s="9"/>
      <c r="G1" s="9"/>
    </row>
    <row r="2" spans="1:7" s="36" customFormat="1" x14ac:dyDescent="0.45">
      <c r="A2" s="11" t="s">
        <v>31</v>
      </c>
      <c r="B2" s="9"/>
      <c r="C2" s="9"/>
      <c r="D2" s="9"/>
      <c r="E2" s="9"/>
      <c r="F2" s="9"/>
      <c r="G2" s="9"/>
    </row>
    <row r="3" spans="1:7" x14ac:dyDescent="0.45">
      <c r="A3" s="9"/>
      <c r="B3" s="9"/>
      <c r="C3" s="9"/>
      <c r="D3" s="9"/>
      <c r="E3" s="9"/>
      <c r="F3" s="9"/>
      <c r="G3" s="9"/>
    </row>
    <row r="4" spans="1:7" ht="47.25" x14ac:dyDescent="0.45">
      <c r="A4" s="1" t="s">
        <v>169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16</v>
      </c>
    </row>
    <row r="5" spans="1:7" x14ac:dyDescent="0.45">
      <c r="A5" s="28" t="s">
        <v>175</v>
      </c>
      <c r="B5" s="12" t="s">
        <v>176</v>
      </c>
      <c r="C5" s="33">
        <v>46296</v>
      </c>
      <c r="D5" s="33">
        <v>46326</v>
      </c>
      <c r="E5" s="13">
        <f t="shared" ref="E5:E19" si="0">DATEDIF(C5,D5+1,"m")</f>
        <v>1</v>
      </c>
      <c r="F5" s="13">
        <v>1</v>
      </c>
      <c r="G5" s="13" t="s">
        <v>177</v>
      </c>
    </row>
    <row r="6" spans="1:7" x14ac:dyDescent="0.45">
      <c r="A6" s="28" t="s">
        <v>178</v>
      </c>
      <c r="B6" s="12" t="s">
        <v>179</v>
      </c>
      <c r="C6" s="33">
        <v>46327</v>
      </c>
      <c r="D6" s="33">
        <v>46356</v>
      </c>
      <c r="E6" s="13">
        <f t="shared" si="0"/>
        <v>1</v>
      </c>
      <c r="F6" s="13">
        <v>1</v>
      </c>
      <c r="G6" s="13" t="s">
        <v>180</v>
      </c>
    </row>
    <row r="7" spans="1:7" x14ac:dyDescent="0.45">
      <c r="A7" s="28" t="s">
        <v>181</v>
      </c>
      <c r="B7" s="12" t="s">
        <v>182</v>
      </c>
      <c r="C7" s="33">
        <v>46327</v>
      </c>
      <c r="D7" s="33">
        <v>46356</v>
      </c>
      <c r="E7" s="13">
        <f t="shared" si="0"/>
        <v>1</v>
      </c>
      <c r="F7" s="13">
        <v>2</v>
      </c>
      <c r="G7" s="13" t="s">
        <v>177</v>
      </c>
    </row>
    <row r="8" spans="1:7" x14ac:dyDescent="0.45">
      <c r="A8" s="28" t="s">
        <v>183</v>
      </c>
      <c r="B8" s="12" t="s">
        <v>184</v>
      </c>
      <c r="C8" s="33">
        <v>46327</v>
      </c>
      <c r="D8" s="33">
        <v>46356</v>
      </c>
      <c r="E8" s="13">
        <f t="shared" si="0"/>
        <v>1</v>
      </c>
      <c r="F8" s="13">
        <v>2</v>
      </c>
      <c r="G8" s="13" t="s">
        <v>180</v>
      </c>
    </row>
    <row r="9" spans="1:7" x14ac:dyDescent="0.45">
      <c r="A9" s="28" t="s">
        <v>185</v>
      </c>
      <c r="B9" s="12" t="s">
        <v>186</v>
      </c>
      <c r="C9" s="33">
        <v>46327</v>
      </c>
      <c r="D9" s="33">
        <v>46387</v>
      </c>
      <c r="E9" s="13">
        <f t="shared" si="0"/>
        <v>2</v>
      </c>
      <c r="F9" s="13">
        <v>2</v>
      </c>
      <c r="G9" s="13" t="s">
        <v>180</v>
      </c>
    </row>
    <row r="10" spans="1:7" x14ac:dyDescent="0.45">
      <c r="A10" s="28" t="s">
        <v>187</v>
      </c>
      <c r="B10" s="12" t="s">
        <v>188</v>
      </c>
      <c r="C10" s="33">
        <v>46357</v>
      </c>
      <c r="D10" s="33">
        <v>46446</v>
      </c>
      <c r="E10" s="13">
        <f t="shared" si="0"/>
        <v>3</v>
      </c>
      <c r="F10" s="13">
        <v>3</v>
      </c>
      <c r="G10" s="13" t="s">
        <v>177</v>
      </c>
    </row>
    <row r="11" spans="1:7" x14ac:dyDescent="0.45">
      <c r="A11" s="28" t="s">
        <v>189</v>
      </c>
      <c r="B11" s="12" t="s">
        <v>190</v>
      </c>
      <c r="C11" s="33">
        <v>46357</v>
      </c>
      <c r="D11" s="33">
        <v>46418</v>
      </c>
      <c r="E11" s="13">
        <f t="shared" si="0"/>
        <v>2</v>
      </c>
      <c r="F11" s="13">
        <v>3</v>
      </c>
      <c r="G11" s="13" t="s">
        <v>180</v>
      </c>
    </row>
    <row r="12" spans="1:7" x14ac:dyDescent="0.45">
      <c r="A12" s="28" t="s">
        <v>191</v>
      </c>
      <c r="B12" s="12" t="s">
        <v>192</v>
      </c>
      <c r="C12" s="33">
        <v>46357</v>
      </c>
      <c r="D12" s="33">
        <v>46418</v>
      </c>
      <c r="E12" s="13">
        <f t="shared" si="0"/>
        <v>2</v>
      </c>
      <c r="F12" s="13">
        <v>3</v>
      </c>
      <c r="G12" s="13" t="s">
        <v>180</v>
      </c>
    </row>
    <row r="13" spans="1:7" x14ac:dyDescent="0.45">
      <c r="A13" s="28" t="s">
        <v>193</v>
      </c>
      <c r="B13" s="12" t="s">
        <v>194</v>
      </c>
      <c r="C13" s="33">
        <v>46447</v>
      </c>
      <c r="D13" s="33">
        <v>46477</v>
      </c>
      <c r="E13" s="13">
        <f t="shared" si="0"/>
        <v>1</v>
      </c>
      <c r="F13" s="13">
        <v>3</v>
      </c>
      <c r="G13" s="13" t="s">
        <v>177</v>
      </c>
    </row>
    <row r="14" spans="1:7" x14ac:dyDescent="0.45">
      <c r="A14" s="28" t="s">
        <v>195</v>
      </c>
      <c r="B14" s="12" t="s">
        <v>196</v>
      </c>
      <c r="C14" s="33">
        <v>46478</v>
      </c>
      <c r="D14" s="33">
        <v>46538</v>
      </c>
      <c r="E14" s="13">
        <f t="shared" si="0"/>
        <v>2</v>
      </c>
      <c r="F14" s="13">
        <v>4</v>
      </c>
      <c r="G14" s="13" t="s">
        <v>180</v>
      </c>
    </row>
    <row r="15" spans="1:7" x14ac:dyDescent="0.45">
      <c r="A15" s="28" t="s">
        <v>197</v>
      </c>
      <c r="B15" s="12" t="s">
        <v>198</v>
      </c>
      <c r="C15" s="33">
        <v>46478</v>
      </c>
      <c r="D15" s="33">
        <v>46507</v>
      </c>
      <c r="E15" s="13">
        <f t="shared" si="0"/>
        <v>1</v>
      </c>
      <c r="F15" s="13">
        <v>4</v>
      </c>
      <c r="G15" s="13" t="s">
        <v>180</v>
      </c>
    </row>
    <row r="16" spans="1:7" x14ac:dyDescent="0.45">
      <c r="A16" s="28" t="s">
        <v>147</v>
      </c>
      <c r="B16" s="12" t="s">
        <v>199</v>
      </c>
      <c r="C16" s="33">
        <v>46478</v>
      </c>
      <c r="D16" s="33">
        <v>46568</v>
      </c>
      <c r="E16" s="13">
        <f t="shared" si="0"/>
        <v>3</v>
      </c>
      <c r="F16" s="13">
        <v>5</v>
      </c>
      <c r="G16" s="13" t="s">
        <v>177</v>
      </c>
    </row>
    <row r="17" spans="1:7" x14ac:dyDescent="0.45">
      <c r="A17" s="28" t="s">
        <v>200</v>
      </c>
      <c r="B17" s="12" t="s">
        <v>201</v>
      </c>
      <c r="C17" s="33">
        <v>46569</v>
      </c>
      <c r="D17" s="33">
        <v>46599</v>
      </c>
      <c r="E17" s="13">
        <f t="shared" si="0"/>
        <v>1</v>
      </c>
      <c r="F17" s="13">
        <v>6</v>
      </c>
      <c r="G17" s="13" t="s">
        <v>177</v>
      </c>
    </row>
    <row r="18" spans="1:7" x14ac:dyDescent="0.45">
      <c r="A18" s="28" t="s">
        <v>202</v>
      </c>
      <c r="B18" s="12" t="s">
        <v>203</v>
      </c>
      <c r="C18" s="33">
        <v>46600</v>
      </c>
      <c r="D18" s="33">
        <v>46630</v>
      </c>
      <c r="E18" s="13">
        <f t="shared" si="0"/>
        <v>1</v>
      </c>
      <c r="F18" s="13">
        <v>6</v>
      </c>
      <c r="G18" s="13" t="s">
        <v>177</v>
      </c>
    </row>
    <row r="19" spans="1:7" x14ac:dyDescent="0.45">
      <c r="A19" s="28" t="s">
        <v>204</v>
      </c>
      <c r="B19" s="12" t="s">
        <v>205</v>
      </c>
      <c r="C19" s="33">
        <v>46631</v>
      </c>
      <c r="D19" s="33">
        <v>46660</v>
      </c>
      <c r="E19" s="13">
        <f t="shared" si="0"/>
        <v>1</v>
      </c>
      <c r="F19" s="13">
        <v>6</v>
      </c>
      <c r="G19" s="13" t="s">
        <v>177</v>
      </c>
    </row>
    <row r="20" spans="1:7" x14ac:dyDescent="0.45">
      <c r="A20" s="9"/>
      <c r="B20" s="9"/>
      <c r="C20" s="9"/>
      <c r="D20" s="9"/>
      <c r="E20" s="9"/>
      <c r="F20" s="9"/>
      <c r="G20" s="9"/>
    </row>
    <row r="21" spans="1:7" x14ac:dyDescent="0.45">
      <c r="A21" s="9"/>
      <c r="B21" s="17" t="s">
        <v>206</v>
      </c>
      <c r="C21" s="34">
        <f>MIN(C5:C19)</f>
        <v>46296</v>
      </c>
      <c r="D21" s="9"/>
      <c r="E21" s="9"/>
      <c r="F21" s="9"/>
      <c r="G21" s="9"/>
    </row>
    <row r="22" spans="1:7" x14ac:dyDescent="0.45">
      <c r="A22" s="9"/>
      <c r="B22" s="17" t="s">
        <v>207</v>
      </c>
      <c r="C22" s="34">
        <f>MAX(D5:D19)</f>
        <v>46660</v>
      </c>
      <c r="D22" s="9"/>
      <c r="E22" s="9"/>
      <c r="F22" s="9"/>
      <c r="G22" s="9"/>
    </row>
    <row r="23" spans="1:7" x14ac:dyDescent="0.45">
      <c r="A23" s="9"/>
      <c r="B23" s="17" t="s">
        <v>208</v>
      </c>
      <c r="C23" s="18">
        <f>DATEDIF(C21,C22+1,"m")</f>
        <v>12</v>
      </c>
      <c r="D23" s="9"/>
      <c r="E23" s="9"/>
      <c r="F23" s="9"/>
      <c r="G23" s="9"/>
    </row>
    <row r="24" spans="1:7" x14ac:dyDescent="0.45">
      <c r="A24" s="9"/>
      <c r="B24" s="17" t="s">
        <v>209</v>
      </c>
      <c r="C24" s="18">
        <f>SUMIF(G5:G19,"да",E5:E19)</f>
        <v>12</v>
      </c>
      <c r="D24" s="9"/>
      <c r="E24" s="9"/>
      <c r="F24" s="9"/>
      <c r="G24" s="9"/>
    </row>
    <row r="25" spans="1:7" ht="57" x14ac:dyDescent="0.45">
      <c r="A25" s="9"/>
      <c r="B25" s="17" t="s">
        <v>16</v>
      </c>
      <c r="C25" s="17" t="s">
        <v>17</v>
      </c>
      <c r="D25" s="9"/>
      <c r="E25" s="9"/>
      <c r="F25" s="9"/>
      <c r="G25" s="9"/>
    </row>
  </sheetData>
  <conditionalFormatting sqref="A5:B19">
    <cfRule type="expression" dxfId="5" priority="1">
      <formula>$G5="да"</formula>
    </cfRule>
  </conditionalFormatting>
  <conditionalFormatting sqref="E5:G19">
    <cfRule type="expression" dxfId="4" priority="2">
      <formula>$G5="да"</formula>
    </cfRule>
  </conditionalFormatting>
  <pageMargins left="0.75" right="0.75" top="1" bottom="1" header="0.5" footer="0.5"/>
  <pageSetup paperSize="9" scale="89" fitToHeight="0" orientation="landscape" r:id="rId1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H2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46" customWidth="1"/>
    <col min="3" max="3" width="32" customWidth="1"/>
    <col min="4" max="5" width="12" customWidth="1"/>
    <col min="6" max="6" width="11" customWidth="1"/>
    <col min="7" max="7" width="30" customWidth="1"/>
    <col min="8" max="8" width="55" customWidth="1"/>
  </cols>
  <sheetData>
    <row r="1" spans="1:8" s="36" customFormat="1" ht="18" x14ac:dyDescent="0.45">
      <c r="A1" s="24" t="s">
        <v>210</v>
      </c>
      <c r="B1" s="9"/>
      <c r="C1" s="9"/>
      <c r="D1" s="9"/>
      <c r="E1" s="9"/>
      <c r="F1" s="9"/>
      <c r="G1" s="9"/>
      <c r="H1" s="9"/>
    </row>
    <row r="2" spans="1:8" s="36" customFormat="1" x14ac:dyDescent="0.45">
      <c r="A2" s="11" t="s">
        <v>31</v>
      </c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4" spans="1:8" ht="31.5" x14ac:dyDescent="0.45">
      <c r="A4" s="1" t="s">
        <v>32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  <c r="H4" s="1" t="s">
        <v>217</v>
      </c>
    </row>
    <row r="5" spans="1:8" ht="28.5" x14ac:dyDescent="0.45">
      <c r="A5" s="13">
        <v>1</v>
      </c>
      <c r="B5" s="12" t="s">
        <v>218</v>
      </c>
      <c r="C5" s="13" t="s">
        <v>219</v>
      </c>
      <c r="D5" s="14">
        <v>5</v>
      </c>
      <c r="E5" s="14">
        <v>5</v>
      </c>
      <c r="F5" s="32" t="str">
        <f t="shared" ref="F5:F17" si="0">IF(E5&gt;=4,IF(D5&gt;=3,"A","D"),IF(D5&gt;=3,"B","C"))</f>
        <v>A</v>
      </c>
      <c r="G5" s="12" t="str">
        <f t="shared" ref="G5:G17" si="1">VLOOKUP(F5,$A$21:$B$24,2,FALSE)</f>
        <v>Активное вовлечение</v>
      </c>
      <c r="H5" s="12" t="s">
        <v>220</v>
      </c>
    </row>
    <row r="6" spans="1:8" ht="28.5" x14ac:dyDescent="0.45">
      <c r="A6" s="13">
        <v>2</v>
      </c>
      <c r="B6" s="12" t="s">
        <v>37</v>
      </c>
      <c r="C6" s="13" t="s">
        <v>219</v>
      </c>
      <c r="D6" s="14">
        <v>5</v>
      </c>
      <c r="E6" s="14">
        <v>4</v>
      </c>
      <c r="F6" s="32" t="str">
        <f t="shared" si="0"/>
        <v>A</v>
      </c>
      <c r="G6" s="12" t="str">
        <f t="shared" si="1"/>
        <v>Активное вовлечение</v>
      </c>
      <c r="H6" s="12" t="s">
        <v>221</v>
      </c>
    </row>
    <row r="7" spans="1:8" ht="28.5" x14ac:dyDescent="0.45">
      <c r="A7" s="13">
        <v>3</v>
      </c>
      <c r="B7" s="12" t="s">
        <v>222</v>
      </c>
      <c r="C7" s="13" t="s">
        <v>219</v>
      </c>
      <c r="D7" s="14">
        <v>4</v>
      </c>
      <c r="E7" s="14">
        <v>3</v>
      </c>
      <c r="F7" s="32" t="str">
        <f t="shared" si="0"/>
        <v>B</v>
      </c>
      <c r="G7" s="12" t="str">
        <f t="shared" si="1"/>
        <v>Консультирование</v>
      </c>
      <c r="H7" s="12" t="s">
        <v>223</v>
      </c>
    </row>
    <row r="8" spans="1:8" ht="28.5" x14ac:dyDescent="0.45">
      <c r="A8" s="13">
        <v>4</v>
      </c>
      <c r="B8" s="12" t="s">
        <v>224</v>
      </c>
      <c r="C8" s="13" t="s">
        <v>225</v>
      </c>
      <c r="D8" s="14">
        <v>5</v>
      </c>
      <c r="E8" s="14">
        <v>3</v>
      </c>
      <c r="F8" s="32" t="str">
        <f t="shared" si="0"/>
        <v>B</v>
      </c>
      <c r="G8" s="12" t="str">
        <f t="shared" si="1"/>
        <v>Консультирование</v>
      </c>
      <c r="H8" s="12" t="s">
        <v>226</v>
      </c>
    </row>
    <row r="9" spans="1:8" ht="28.5" x14ac:dyDescent="0.45">
      <c r="A9" s="13">
        <v>5</v>
      </c>
      <c r="B9" s="12" t="s">
        <v>227</v>
      </c>
      <c r="C9" s="13" t="s">
        <v>225</v>
      </c>
      <c r="D9" s="14">
        <v>4</v>
      </c>
      <c r="E9" s="14">
        <v>3</v>
      </c>
      <c r="F9" s="32" t="str">
        <f t="shared" si="0"/>
        <v>B</v>
      </c>
      <c r="G9" s="12" t="str">
        <f t="shared" si="1"/>
        <v>Консультирование</v>
      </c>
      <c r="H9" s="12" t="s">
        <v>228</v>
      </c>
    </row>
    <row r="10" spans="1:8" ht="28.5" x14ac:dyDescent="0.45">
      <c r="A10" s="13">
        <v>6</v>
      </c>
      <c r="B10" s="12" t="s">
        <v>229</v>
      </c>
      <c r="C10" s="13" t="s">
        <v>225</v>
      </c>
      <c r="D10" s="14">
        <v>1</v>
      </c>
      <c r="E10" s="14">
        <v>4</v>
      </c>
      <c r="F10" s="32" t="str">
        <f t="shared" si="0"/>
        <v>D</v>
      </c>
      <c r="G10" s="12" t="str">
        <f t="shared" si="1"/>
        <v>Минимальное информирование</v>
      </c>
      <c r="H10" s="12" t="s">
        <v>230</v>
      </c>
    </row>
    <row r="11" spans="1:8" ht="28.5" x14ac:dyDescent="0.45">
      <c r="A11" s="13">
        <v>7</v>
      </c>
      <c r="B11" s="12" t="s">
        <v>231</v>
      </c>
      <c r="C11" s="13" t="s">
        <v>225</v>
      </c>
      <c r="D11" s="14">
        <v>1</v>
      </c>
      <c r="E11" s="14">
        <v>5</v>
      </c>
      <c r="F11" s="32" t="str">
        <f t="shared" si="0"/>
        <v>D</v>
      </c>
      <c r="G11" s="12" t="str">
        <f t="shared" si="1"/>
        <v>Минимальное информирование</v>
      </c>
      <c r="H11" s="12" t="s">
        <v>232</v>
      </c>
    </row>
    <row r="12" spans="1:8" ht="28.5" x14ac:dyDescent="0.45">
      <c r="A12" s="13">
        <v>8</v>
      </c>
      <c r="B12" s="12" t="s">
        <v>233</v>
      </c>
      <c r="C12" s="13" t="s">
        <v>225</v>
      </c>
      <c r="D12" s="14">
        <v>2</v>
      </c>
      <c r="E12" s="14">
        <v>4</v>
      </c>
      <c r="F12" s="32" t="str">
        <f t="shared" si="0"/>
        <v>D</v>
      </c>
      <c r="G12" s="12" t="str">
        <f t="shared" si="1"/>
        <v>Минимальное информирование</v>
      </c>
      <c r="H12" s="12" t="s">
        <v>234</v>
      </c>
    </row>
    <row r="13" spans="1:8" x14ac:dyDescent="0.45">
      <c r="A13" s="13">
        <v>9</v>
      </c>
      <c r="B13" s="12" t="s">
        <v>235</v>
      </c>
      <c r="C13" s="13" t="s">
        <v>225</v>
      </c>
      <c r="D13" s="14">
        <v>2</v>
      </c>
      <c r="E13" s="14">
        <v>2</v>
      </c>
      <c r="F13" s="32" t="str">
        <f t="shared" si="0"/>
        <v>C</v>
      </c>
      <c r="G13" s="12" t="str">
        <f t="shared" si="1"/>
        <v>Минимальный контроль</v>
      </c>
      <c r="H13" s="12" t="s">
        <v>236</v>
      </c>
    </row>
    <row r="14" spans="1:8" x14ac:dyDescent="0.45">
      <c r="A14" s="13">
        <v>10</v>
      </c>
      <c r="B14" s="12" t="s">
        <v>237</v>
      </c>
      <c r="C14" s="13" t="s">
        <v>225</v>
      </c>
      <c r="D14" s="14">
        <v>1</v>
      </c>
      <c r="E14" s="14">
        <v>2</v>
      </c>
      <c r="F14" s="32" t="str">
        <f t="shared" si="0"/>
        <v>C</v>
      </c>
      <c r="G14" s="12" t="str">
        <f t="shared" si="1"/>
        <v>Минимальный контроль</v>
      </c>
      <c r="H14" s="12" t="s">
        <v>238</v>
      </c>
    </row>
    <row r="15" spans="1:8" ht="28.5" x14ac:dyDescent="0.45">
      <c r="A15" s="13">
        <v>11</v>
      </c>
      <c r="B15" s="12" t="s">
        <v>239</v>
      </c>
      <c r="C15" s="13" t="s">
        <v>225</v>
      </c>
      <c r="D15" s="14">
        <v>2</v>
      </c>
      <c r="E15" s="14">
        <v>1</v>
      </c>
      <c r="F15" s="32" t="str">
        <f t="shared" si="0"/>
        <v>C</v>
      </c>
      <c r="G15" s="12" t="str">
        <f t="shared" si="1"/>
        <v>Минимальный контроль</v>
      </c>
      <c r="H15" s="12" t="s">
        <v>240</v>
      </c>
    </row>
    <row r="16" spans="1:8" ht="42.75" x14ac:dyDescent="0.45">
      <c r="A16" s="13">
        <v>12</v>
      </c>
      <c r="B16" s="12" t="s">
        <v>241</v>
      </c>
      <c r="C16" s="13" t="s">
        <v>225</v>
      </c>
      <c r="D16" s="14">
        <v>2</v>
      </c>
      <c r="E16" s="14">
        <v>3</v>
      </c>
      <c r="F16" s="32" t="str">
        <f t="shared" si="0"/>
        <v>C</v>
      </c>
      <c r="G16" s="12" t="str">
        <f t="shared" si="1"/>
        <v>Минимальный контроль</v>
      </c>
      <c r="H16" s="12" t="s">
        <v>242</v>
      </c>
    </row>
    <row r="17" spans="1:8" ht="28.5" x14ac:dyDescent="0.45">
      <c r="A17" s="13">
        <v>13</v>
      </c>
      <c r="B17" s="12" t="s">
        <v>243</v>
      </c>
      <c r="C17" s="13" t="s">
        <v>225</v>
      </c>
      <c r="D17" s="14">
        <v>1</v>
      </c>
      <c r="E17" s="14">
        <v>2</v>
      </c>
      <c r="F17" s="32" t="str">
        <f t="shared" si="0"/>
        <v>C</v>
      </c>
      <c r="G17" s="12" t="str">
        <f t="shared" si="1"/>
        <v>Минимальный контроль</v>
      </c>
      <c r="H17" s="12" t="s">
        <v>244</v>
      </c>
    </row>
    <row r="18" spans="1:8" x14ac:dyDescent="0.45">
      <c r="A18" s="9"/>
      <c r="B18" s="9"/>
      <c r="C18" s="9"/>
      <c r="D18" s="9"/>
      <c r="E18" s="9"/>
      <c r="F18" s="9"/>
      <c r="G18" s="9"/>
      <c r="H18" s="9"/>
    </row>
    <row r="19" spans="1:8" x14ac:dyDescent="0.45">
      <c r="A19" s="9"/>
      <c r="B19" s="9"/>
      <c r="C19" s="9"/>
      <c r="D19" s="9"/>
      <c r="E19" s="9"/>
      <c r="F19" s="9"/>
      <c r="G19" s="9"/>
      <c r="H19" s="9"/>
    </row>
    <row r="20" spans="1:8" ht="15.75" x14ac:dyDescent="0.45">
      <c r="A20" s="1" t="s">
        <v>215</v>
      </c>
      <c r="B20" s="1" t="s">
        <v>216</v>
      </c>
      <c r="C20" s="1" t="s">
        <v>245</v>
      </c>
      <c r="D20" s="1" t="s">
        <v>93</v>
      </c>
      <c r="E20" s="9"/>
      <c r="F20" s="9"/>
      <c r="G20" s="9"/>
      <c r="H20" s="9"/>
    </row>
    <row r="21" spans="1:8" x14ac:dyDescent="0.45">
      <c r="A21" s="32" t="s">
        <v>246</v>
      </c>
      <c r="B21" s="12" t="s">
        <v>247</v>
      </c>
      <c r="C21" s="12" t="s">
        <v>248</v>
      </c>
      <c r="D21" s="13">
        <f>COUNTIF($F$5:$F$17,A21)</f>
        <v>2</v>
      </c>
      <c r="E21" s="9"/>
      <c r="F21" s="9"/>
      <c r="G21" s="9"/>
      <c r="H21" s="9"/>
    </row>
    <row r="22" spans="1:8" x14ac:dyDescent="0.45">
      <c r="A22" s="32" t="s">
        <v>249</v>
      </c>
      <c r="B22" s="12" t="s">
        <v>250</v>
      </c>
      <c r="C22" s="12" t="s">
        <v>251</v>
      </c>
      <c r="D22" s="13">
        <f>COUNTIF($F$5:$F$17,A22)</f>
        <v>3</v>
      </c>
      <c r="E22" s="9"/>
      <c r="F22" s="9"/>
      <c r="G22" s="9"/>
      <c r="H22" s="9"/>
    </row>
    <row r="23" spans="1:8" x14ac:dyDescent="0.45">
      <c r="A23" s="32" t="s">
        <v>252</v>
      </c>
      <c r="B23" s="12" t="s">
        <v>253</v>
      </c>
      <c r="C23" s="12" t="s">
        <v>254</v>
      </c>
      <c r="D23" s="13">
        <f>COUNTIF($F$5:$F$17,A23)</f>
        <v>5</v>
      </c>
      <c r="E23" s="9"/>
      <c r="F23" s="9"/>
      <c r="G23" s="9"/>
      <c r="H23" s="9"/>
    </row>
    <row r="24" spans="1:8" x14ac:dyDescent="0.45">
      <c r="A24" s="32" t="s">
        <v>255</v>
      </c>
      <c r="B24" s="12" t="s">
        <v>256</v>
      </c>
      <c r="C24" s="12" t="s">
        <v>257</v>
      </c>
      <c r="D24" s="13">
        <f>COUNTIF($F$5:$F$17,A24)</f>
        <v>3</v>
      </c>
      <c r="E24" s="9"/>
      <c r="F24" s="9"/>
      <c r="G24" s="9"/>
      <c r="H24" s="9"/>
    </row>
    <row r="25" spans="1:8" x14ac:dyDescent="0.45">
      <c r="A25" s="17"/>
      <c r="B25" s="17" t="s">
        <v>95</v>
      </c>
      <c r="C25" s="17"/>
      <c r="D25" s="29">
        <f>SUM(D21:D24)</f>
        <v>13</v>
      </c>
      <c r="E25" s="9"/>
      <c r="F25" s="9"/>
      <c r="G25" s="9"/>
      <c r="H25" s="9"/>
    </row>
  </sheetData>
  <conditionalFormatting sqref="F5:G17">
    <cfRule type="expression" dxfId="3" priority="1">
      <formula>$F5="A"</formula>
    </cfRule>
    <cfRule type="expression" dxfId="2" priority="2">
      <formula>$F5="B"</formula>
    </cfRule>
    <cfRule type="expression" dxfId="1" priority="3">
      <formula>$F5="C"</formula>
    </cfRule>
    <cfRule type="expression" dxfId="0" priority="4">
      <formula>$F5="D"</formula>
    </cfRule>
  </conditionalFormatting>
  <pageMargins left="0.75" right="0.75" top="1" bottom="1" header="0.5" footer="0.5"/>
  <pageSetup paperSize="9" scale="62" fitToHeight="0" orientation="landscape" r:id="rId1"/>
  <headerFooter>
    <oddFooter>&amp;C&amp;P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Титул</vt:lpstr>
      <vt:lpstr>Команда и бюджет</vt:lpstr>
      <vt:lpstr>MoSCoW</vt:lpstr>
      <vt:lpstr>Декомпозиция</vt:lpstr>
      <vt:lpstr>Работы WBS</vt:lpstr>
      <vt:lpstr>Стейкхолдеры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2026-10-01T12:21:44Z</dcterms:created>
  <dcterms:modified xsi:type="dcterms:W3CDTF">2026-10-01T12:29:23Z</dcterms:modified>
</cp:coreProperties>
</file>